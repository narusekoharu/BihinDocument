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chno08-my.sharepoint.com/personal/naruse-koharu_techno-concier_co_jp/Documents/研修/"/>
    </mc:Choice>
  </mc:AlternateContent>
  <xr:revisionPtr revIDLastSave="0" documentId="8_{E41ECA77-1580-44D7-AC35-9DD248BAD498}" xr6:coauthVersionLast="47" xr6:coauthVersionMax="47" xr10:uidLastSave="{00000000-0000-0000-0000-000000000000}"/>
  <bookViews>
    <workbookView xWindow="-28920" yWindow="-10095" windowWidth="29040" windowHeight="15720" xr2:uid="{00000000-000D-0000-FFFF-FFFF00000000}"/>
  </bookViews>
  <sheets>
    <sheet name="テスト仕様書" sheetId="1" r:id="rId1"/>
    <sheet name="ステータス定義" sheetId="2" r:id="rId2"/>
  </sheets>
  <definedNames>
    <definedName name="_xlnm._FilterDatabase" localSheetId="0" hidden="1">テスト仕様書!$A$9:$AB$52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4" i="1" l="1"/>
  <c r="A55" i="1"/>
  <c r="A56" i="1"/>
  <c r="A57" i="1"/>
  <c r="A53" i="1"/>
  <c r="A48" i="1"/>
  <c r="A35" i="1" l="1"/>
  <c r="A19" i="1"/>
  <c r="A20" i="1"/>
  <c r="A40" i="1"/>
  <c r="A34" i="1" l="1"/>
  <c r="A30" i="1"/>
  <c r="A31" i="1"/>
  <c r="A32" i="1"/>
  <c r="A29" i="1"/>
  <c r="A33" i="1"/>
  <c r="A26" i="1"/>
  <c r="A27" i="1"/>
  <c r="A25" i="1"/>
  <c r="A24" i="1"/>
  <c r="A23" i="1"/>
  <c r="A22" i="1"/>
  <c r="A52" i="1" l="1"/>
  <c r="A51" i="1"/>
  <c r="A50" i="1"/>
  <c r="A49" i="1"/>
  <c r="A47" i="1"/>
  <c r="A46" i="1"/>
  <c r="A45" i="1"/>
  <c r="A44" i="1"/>
  <c r="A43" i="1"/>
  <c r="A42" i="1"/>
  <c r="A41" i="1"/>
  <c r="A39" i="1"/>
  <c r="A38" i="1"/>
  <c r="A37" i="1"/>
  <c r="A36" i="1"/>
  <c r="A28" i="1"/>
  <c r="A21" i="1"/>
  <c r="A18" i="1"/>
  <c r="A17" i="1"/>
  <c r="A16" i="1"/>
  <c r="A15" i="1"/>
  <c r="A14" i="1"/>
  <c r="A13" i="1"/>
  <c r="A12" i="1"/>
  <c r="A11" i="1"/>
  <c r="A10" i="1"/>
  <c r="G5" i="1"/>
  <c r="F5" i="1"/>
  <c r="E5" i="1"/>
  <c r="D5" i="1"/>
  <c r="C5" i="1"/>
  <c r="B5" i="1" l="1"/>
</calcChain>
</file>

<file path=xl/sharedStrings.xml><?xml version="1.0" encoding="utf-8"?>
<sst xmlns="http://schemas.openxmlformats.org/spreadsheetml/2006/main" count="393" uniqueCount="184">
  <si>
    <t>　</t>
  </si>
  <si>
    <t>作成日</t>
  </si>
  <si>
    <t>作成者</t>
  </si>
  <si>
    <t>ケース数</t>
  </si>
  <si>
    <t>未実施</t>
  </si>
  <si>
    <t>OK</t>
  </si>
  <si>
    <t>NG</t>
  </si>
  <si>
    <t>保留</t>
  </si>
  <si>
    <t>対象外</t>
  </si>
  <si>
    <t>テスト仕様書作成時の入力項目</t>
  </si>
  <si>
    <t>テスト実施時に記入を行う</t>
  </si>
  <si>
    <t>No</t>
  </si>
  <si>
    <t>設計書のシート名</t>
  </si>
  <si>
    <t>テスト設計書シート名</t>
  </si>
  <si>
    <t>テスト観点</t>
  </si>
  <si>
    <t>確認内容</t>
  </si>
  <si>
    <t>起動経路</t>
  </si>
  <si>
    <t>テスト対象項目</t>
  </si>
  <si>
    <t>部品</t>
  </si>
  <si>
    <t>実行前提条件</t>
  </si>
  <si>
    <t>実行手順</t>
  </si>
  <si>
    <t>入力値</t>
  </si>
  <si>
    <t>期待値</t>
  </si>
  <si>
    <t>実行日時</t>
  </si>
  <si>
    <t>実行者</t>
  </si>
  <si>
    <t>実行結果</t>
  </si>
  <si>
    <t>OS</t>
  </si>
  <si>
    <t>ブラウザ</t>
  </si>
  <si>
    <t>ブラウザのVersion</t>
  </si>
  <si>
    <t>スマホ端末名</t>
  </si>
  <si>
    <t>ログインユーザー</t>
  </si>
  <si>
    <t>エビデンスファイル名</t>
  </si>
  <si>
    <t>再テスト実施日</t>
  </si>
  <si>
    <t>不具合タイトル</t>
  </si>
  <si>
    <t>備考</t>
  </si>
  <si>
    <t>PC</t>
  </si>
  <si>
    <t>なし</t>
  </si>
  <si>
    <t>テキストボックス</t>
  </si>
  <si>
    <t>部品毎の操作が行えることを確認する</t>
  </si>
  <si>
    <t>ステータス</t>
  </si>
  <si>
    <t>定義</t>
  </si>
  <si>
    <t>テスト実施の未着手</t>
  </si>
  <si>
    <t>テスト実施を行い期待値と同じ動作と一致する</t>
  </si>
  <si>
    <t>テスト実施を行い期待値と同じ動作と一致しない</t>
  </si>
  <si>
    <t>テスト実施方法やデータ作成について問い合わせ中</t>
  </si>
  <si>
    <t>パターンが存在しないなど、テスト実施不可</t>
  </si>
  <si>
    <t>PC</t>
    <phoneticPr fontId="10"/>
  </si>
  <si>
    <t>テキストボックス</t>
    <phoneticPr fontId="10"/>
  </si>
  <si>
    <t>ボタン</t>
    <phoneticPr fontId="10"/>
  </si>
  <si>
    <t>なし</t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</si>
  <si>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半角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 xml:space="preserve">大文字
</t>
    </r>
    <r>
      <rPr>
        <sz val="10"/>
        <color theme="1"/>
        <rFont val="Arial"/>
        <family val="2"/>
        <scheme val="minor"/>
      </rPr>
      <t>AB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</si>
  <si>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半角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 xml:space="preserve">小文字
</t>
    </r>
    <r>
      <rPr>
        <sz val="10"/>
        <color theme="1"/>
        <rFont val="Arial"/>
        <family val="2"/>
        <scheme val="minor"/>
      </rPr>
      <t>ab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</si>
  <si>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半角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 xml:space="preserve">数字
</t>
    </r>
    <r>
      <rPr>
        <sz val="10"/>
        <color theme="1"/>
        <rFont val="Arial"/>
        <family val="2"/>
        <scheme val="minor"/>
      </rPr>
      <t>12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</si>
  <si>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半角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 xml:space="preserve">記号
</t>
    </r>
    <r>
      <rPr>
        <sz val="10"/>
        <color theme="1"/>
        <rFont val="Arial"/>
        <family val="3"/>
      </rPr>
      <t>?</t>
    </r>
    <r>
      <rPr>
        <sz val="10"/>
        <color theme="1"/>
        <rFont val="Arial"/>
        <family val="2"/>
        <scheme val="minor"/>
      </rPr>
      <t>&gt;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</si>
  <si>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半角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カタカナ
ｱｲ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</si>
  <si>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大文字
ＡＢ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</si>
  <si>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小文字
ａｂ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</si>
  <si>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数字
１２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</si>
  <si>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記号
？＞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</si>
  <si>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ひらがな
あい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</si>
  <si>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カタカナ
アイ</t>
    </r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</si>
  <si>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
</t>
    </r>
    <r>
      <rPr>
        <sz val="10"/>
        <color theme="1"/>
        <rFont val="ＭＳ ゴシック"/>
        <family val="3"/>
        <charset val="128"/>
      </rPr>
      <t>漢字
一二</t>
    </r>
    <rPh sb="12" eb="14">
      <t>カンジ</t>
    </rPh>
    <rPh sb="15" eb="16">
      <t>イチ</t>
    </rPh>
    <rPh sb="16" eb="17">
      <t>ニ</t>
    </rPh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</si>
  <si>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Ｐゴシック"/>
        <family val="2"/>
        <charset val="128"/>
      </rPr>
      <t>半角</t>
    </r>
    <r>
      <rPr>
        <sz val="10"/>
        <color theme="1"/>
        <rFont val="ＭＳ ゴシック"/>
        <family val="3"/>
        <charset val="128"/>
      </rPr>
      <t>混合</t>
    </r>
    <r>
      <rPr>
        <sz val="10"/>
        <color theme="1"/>
        <rFont val="Arial"/>
        <family val="2"/>
        <scheme val="minor"/>
      </rPr>
      <t xml:space="preserve">
ABab12?&gt;</t>
    </r>
    <rPh sb="1" eb="3">
      <t>ハンカク</t>
    </rPh>
    <rPh sb="3" eb="5">
      <t>コンゴウ</t>
    </rPh>
    <phoneticPr fontId="10"/>
  </si>
  <si>
    <t>テスト仕様書</t>
    <rPh sb="3" eb="6">
      <t>シヨウショ</t>
    </rPh>
    <phoneticPr fontId="10"/>
  </si>
  <si>
    <r>
      <rPr>
        <sz val="11"/>
        <color theme="1"/>
        <rFont val="ＭＳ ゴシック"/>
        <family val="3"/>
        <charset val="128"/>
      </rPr>
      <t>テスト仕様書</t>
    </r>
    <r>
      <rPr>
        <sz val="11"/>
        <color theme="1"/>
        <rFont val="Arial"/>
        <family val="2"/>
      </rPr>
      <t>(</t>
    </r>
    <r>
      <rPr>
        <sz val="11"/>
        <color theme="1"/>
        <rFont val="游ゴシック"/>
        <family val="2"/>
        <charset val="128"/>
      </rPr>
      <t>備品管理アプリ</t>
    </r>
    <r>
      <rPr>
        <sz val="11"/>
        <color theme="1"/>
        <rFont val="Arial"/>
        <family val="2"/>
      </rPr>
      <t>)</t>
    </r>
    <rPh sb="7" eb="11">
      <t>ビヒンカンリ</t>
    </rPh>
    <phoneticPr fontId="10"/>
  </si>
  <si>
    <t>成瀬</t>
    <rPh sb="0" eb="2">
      <t>ナルセ</t>
    </rPh>
    <phoneticPr fontId="10"/>
  </si>
  <si>
    <t>画面イメージ</t>
    <rPh sb="0" eb="2">
      <t>ガメン</t>
    </rPh>
    <phoneticPr fontId="10"/>
  </si>
  <si>
    <t>設計書の「画面イメージ」と比較して
表示項目が同一であることを確認する</t>
    <rPh sb="5" eb="7">
      <t>ガメン</t>
    </rPh>
    <phoneticPr fontId="10"/>
  </si>
  <si>
    <t>登録</t>
    <rPh sb="0" eb="2">
      <t>トウロク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</si>
  <si>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>起動経路から「備品一覧」画面を開く</t>
    </r>
    <rPh sb="9" eb="13">
      <t>ビヒンイチラン</t>
    </rPh>
    <phoneticPr fontId="10"/>
  </si>
  <si>
    <t>ホーム画面に、画面遷移していること</t>
    <rPh sb="3" eb="5">
      <t>ガメン</t>
    </rPh>
    <rPh sb="7" eb="9">
      <t>ガメン</t>
    </rPh>
    <rPh sb="9" eb="11">
      <t>センイ</t>
    </rPh>
    <phoneticPr fontId="10"/>
  </si>
  <si>
    <t>貸出</t>
    <rPh sb="0" eb="2">
      <t>カシダシ</t>
    </rPh>
    <phoneticPr fontId="10"/>
  </si>
  <si>
    <t>返却</t>
    <rPh sb="0" eb="2">
      <t>ヘンキャク</t>
    </rPh>
    <phoneticPr fontId="10"/>
  </si>
  <si>
    <t>削除</t>
    <rPh sb="0" eb="2">
      <t>サクジョ</t>
    </rPh>
    <phoneticPr fontId="10"/>
  </si>
  <si>
    <t>テキスト</t>
    <phoneticPr fontId="10"/>
  </si>
  <si>
    <t>備品一覧（備品名称）</t>
    <rPh sb="0" eb="4">
      <t>ビヒンイチラン</t>
    </rPh>
    <rPh sb="5" eb="9">
      <t>ビヒンメイショウ</t>
    </rPh>
    <phoneticPr fontId="10"/>
  </si>
  <si>
    <t>備品一覧（状態）</t>
    <rPh sb="0" eb="4">
      <t>ビヒンイチラン</t>
    </rPh>
    <rPh sb="5" eb="7">
      <t>ジョウタイ</t>
    </rPh>
    <phoneticPr fontId="10"/>
  </si>
  <si>
    <t>備品一覧（使用回数）</t>
    <rPh sb="0" eb="4">
      <t>ビヒンイチラン</t>
    </rPh>
    <rPh sb="5" eb="9">
      <t>シヨウカイスウ</t>
    </rPh>
    <phoneticPr fontId="10"/>
  </si>
  <si>
    <t>備品名入力</t>
    <rPh sb="0" eb="3">
      <t>ビヒンメイ</t>
    </rPh>
    <rPh sb="3" eb="5">
      <t>ニュウリョク</t>
    </rPh>
    <phoneticPr fontId="10"/>
  </si>
  <si>
    <t>ホーム画面に、画面遷移していること
備品が登録されていること</t>
    <rPh sb="3" eb="5">
      <t>ガメン</t>
    </rPh>
    <rPh sb="7" eb="9">
      <t>ガメン</t>
    </rPh>
    <rPh sb="9" eb="11">
      <t>センイ</t>
    </rPh>
    <rPh sb="18" eb="20">
      <t>ビヒン</t>
    </rPh>
    <rPh sb="21" eb="23">
      <t>トウロク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</si>
  <si>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2"/>
        <charset val="128"/>
      </rPr>
      <t>テスト対象のボタンを押下する</t>
    </r>
    <rPh sb="9" eb="13">
      <t>ビヒンイチラン</t>
    </rPh>
    <rPh sb="25" eb="27">
      <t>タイショウ</t>
    </rPh>
    <rPh sb="32" eb="34">
      <t>オウカ</t>
    </rPh>
    <phoneticPr fontId="10"/>
  </si>
  <si>
    <t>処理詳細</t>
    <rPh sb="0" eb="4">
      <t>ショリショウサイ</t>
    </rPh>
    <phoneticPr fontId="10"/>
  </si>
  <si>
    <r>
      <rPr>
        <sz val="10"/>
        <color theme="1"/>
        <rFont val="ＭＳ ゴシック"/>
        <family val="3"/>
        <charset val="128"/>
      </rPr>
      <t xml:space="preserve">
以下が入力が行えること</t>
    </r>
    <r>
      <rPr>
        <sz val="10"/>
        <color theme="1"/>
        <rFont val="Arial"/>
        <family val="2"/>
        <scheme val="minor"/>
      </rPr>
      <t xml:space="preserve">                
        </t>
    </r>
    <r>
      <rPr>
        <sz val="10"/>
        <color theme="1"/>
        <rFont val="ＭＳ ゴシック"/>
        <family val="3"/>
        <charset val="128"/>
      </rPr>
      <t>半角</t>
    </r>
    <r>
      <rPr>
        <sz val="10"/>
        <color theme="1"/>
        <rFont val="Arial"/>
        <family val="2"/>
        <scheme val="minor"/>
      </rPr>
      <t xml:space="preserve">        </t>
    </r>
    <r>
      <rPr>
        <sz val="10"/>
        <color theme="1"/>
        <rFont val="ＭＳ ゴシック"/>
        <family val="3"/>
        <charset val="128"/>
      </rPr>
      <t xml:space="preserve">大文字、小文字、数字、記号、カタカナ
</t>
    </r>
    <r>
      <rPr>
        <sz val="10"/>
        <color theme="1"/>
        <rFont val="Arial"/>
        <family val="2"/>
        <scheme val="minor"/>
      </rPr>
      <t xml:space="preserve">        </t>
    </r>
    <r>
      <rPr>
        <sz val="10"/>
        <color theme="1"/>
        <rFont val="ＭＳ ゴシック"/>
        <family val="3"/>
        <charset val="128"/>
      </rPr>
      <t>全角</t>
    </r>
    <r>
      <rPr>
        <sz val="10"/>
        <color theme="1"/>
        <rFont val="Arial"/>
        <family val="2"/>
        <scheme val="minor"/>
      </rPr>
      <t xml:space="preserve">        </t>
    </r>
    <r>
      <rPr>
        <sz val="10"/>
        <color theme="1"/>
        <rFont val="ＭＳ ゴシック"/>
        <family val="3"/>
        <charset val="128"/>
      </rPr>
      <t>大文字、小文字、数字、記号、ひらがな、カタカナ、漢字</t>
    </r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</si>
  <si>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ＭＳ ゴシック"/>
        <family val="2"/>
        <charset val="128"/>
      </rPr>
      <t>3.登録ボタンを押下する</t>
    </r>
    <rPh sb="9" eb="13">
      <t>ビヒンイチラン</t>
    </rPh>
    <rPh sb="45" eb="47">
      <t>トウロク</t>
    </rPh>
    <rPh sb="51" eb="53">
      <t>オウカ</t>
    </rPh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</si>
  <si>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Ｐゴシック"/>
        <family val="2"/>
        <charset val="128"/>
      </rPr>
      <t>半角全角</t>
    </r>
    <r>
      <rPr>
        <sz val="10"/>
        <color theme="1"/>
        <rFont val="ＭＳ ゴシック"/>
        <family val="3"/>
        <charset val="128"/>
      </rPr>
      <t>混合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Arial"/>
        <family val="3"/>
      </rPr>
      <t>ABab</t>
    </r>
    <r>
      <rPr>
        <sz val="10"/>
        <color theme="1"/>
        <rFont val="ＭＳ ゴシック"/>
        <family val="3"/>
        <charset val="128"/>
      </rPr>
      <t>ＡＢａｂ</t>
    </r>
    <rPh sb="1" eb="3">
      <t>ハンカク</t>
    </rPh>
    <rPh sb="3" eb="5">
      <t>ゼンカク</t>
    </rPh>
    <rPh sb="5" eb="7">
      <t>コンゴウ</t>
    </rPh>
    <phoneticPr fontId="10"/>
  </si>
  <si>
    <t>備品名は50文字までなのでその範囲で入力できること</t>
    <rPh sb="0" eb="3">
      <t>ビヒンメイ</t>
    </rPh>
    <rPh sb="6" eb="8">
      <t>モジ</t>
    </rPh>
    <rPh sb="15" eb="17">
      <t>ハンイ</t>
    </rPh>
    <rPh sb="18" eb="20">
      <t>ニュウリョク</t>
    </rPh>
    <phoneticPr fontId="10"/>
  </si>
  <si>
    <t>メッセージ欄</t>
    <rPh sb="5" eb="6">
      <t>ラン</t>
    </rPh>
    <phoneticPr fontId="10"/>
  </si>
  <si>
    <t>PC</t>
    <phoneticPr fontId="10"/>
  </si>
  <si>
    <t>「登録が完了しました」と表示されること</t>
    <rPh sb="1" eb="3">
      <t>トウロク</t>
    </rPh>
    <rPh sb="4" eb="6">
      <t>カンリョウ</t>
    </rPh>
    <rPh sb="12" eb="14">
      <t>ヒョウジ</t>
    </rPh>
    <phoneticPr fontId="10"/>
  </si>
  <si>
    <t>ホーム画面に、画面遷移していること
貸出可能な備品「PC」が登録されていること</t>
    <rPh sb="3" eb="5">
      <t>ガメン</t>
    </rPh>
    <rPh sb="7" eb="9">
      <t>ガメン</t>
    </rPh>
    <rPh sb="9" eb="11">
      <t>センイ</t>
    </rPh>
    <rPh sb="18" eb="22">
      <t>カシダシカノウ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</si>
  <si>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ＭＳ ゴシック"/>
        <family val="2"/>
        <charset val="128"/>
      </rPr>
      <t>3.貸出ボタンを押下する</t>
    </r>
    <rPh sb="9" eb="13">
      <t>ビヒンイチラン</t>
    </rPh>
    <rPh sb="45" eb="47">
      <t>カシダシ</t>
    </rPh>
    <rPh sb="51" eb="53">
      <t>オウカ</t>
    </rPh>
    <phoneticPr fontId="10"/>
  </si>
  <si>
    <t>「貸出しました」と表示されること</t>
    <rPh sb="1" eb="3">
      <t>カシダシ</t>
    </rPh>
    <rPh sb="9" eb="11">
      <t>ヒョウジ</t>
    </rPh>
    <phoneticPr fontId="10"/>
  </si>
  <si>
    <t>ホーム画面に、画面遷移していること
貸出中な備品「PC」が登録されていること</t>
    <rPh sb="3" eb="5">
      <t>ガメン</t>
    </rPh>
    <rPh sb="7" eb="9">
      <t>ガメン</t>
    </rPh>
    <rPh sb="9" eb="11">
      <t>センイ</t>
    </rPh>
    <rPh sb="18" eb="20">
      <t>カシダシ</t>
    </rPh>
    <rPh sb="20" eb="21">
      <t>チュウ</t>
    </rPh>
    <phoneticPr fontId="10"/>
  </si>
  <si>
    <t>「貸出できません」と表示されること</t>
    <rPh sb="1" eb="3">
      <t>カシダシ</t>
    </rPh>
    <rPh sb="10" eb="12">
      <t>ヒョウジ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</si>
  <si>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ＭＳ ゴシック"/>
        <family val="2"/>
        <charset val="128"/>
      </rPr>
      <t>3.返却ボタンを押下する</t>
    </r>
    <rPh sb="9" eb="13">
      <t>ビヒンイチラン</t>
    </rPh>
    <rPh sb="45" eb="47">
      <t>ヘンキャク</t>
    </rPh>
    <rPh sb="51" eb="53">
      <t>オウカ</t>
    </rPh>
    <phoneticPr fontId="10"/>
  </si>
  <si>
    <t>ホーム画面に、画面遷移していること
貸出可能な備品「PC」が登録されていること</t>
    <rPh sb="3" eb="5">
      <t>ガメン</t>
    </rPh>
    <rPh sb="7" eb="9">
      <t>ガメン</t>
    </rPh>
    <rPh sb="9" eb="11">
      <t>センイ</t>
    </rPh>
    <rPh sb="18" eb="20">
      <t>カシダシ</t>
    </rPh>
    <rPh sb="20" eb="22">
      <t>カノウ</t>
    </rPh>
    <phoneticPr fontId="10"/>
  </si>
  <si>
    <t>「返却しました」と表示されること</t>
    <rPh sb="1" eb="3">
      <t>ヘンキャク</t>
    </rPh>
    <rPh sb="9" eb="11">
      <t>ヒョウジ</t>
    </rPh>
    <phoneticPr fontId="10"/>
  </si>
  <si>
    <t>「返却できません」と表示されること</t>
    <rPh sb="1" eb="3">
      <t>ヘンキャク</t>
    </rPh>
    <rPh sb="10" eb="12">
      <t>ヒョウジ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</si>
  <si>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ＭＳ ゴシック"/>
        <family val="2"/>
        <charset val="128"/>
      </rPr>
      <t>3.削除ボタンを押下する</t>
    </r>
    <rPh sb="9" eb="13">
      <t>ビヒンイチラン</t>
    </rPh>
    <rPh sb="45" eb="47">
      <t>サクジョ</t>
    </rPh>
    <rPh sb="51" eb="53">
      <t>オウカ</t>
    </rPh>
    <phoneticPr fontId="10"/>
  </si>
  <si>
    <t>「削除しました」と表示されること</t>
    <rPh sb="1" eb="3">
      <t>サクジョ</t>
    </rPh>
    <rPh sb="9" eb="11">
      <t>ヒョウジ</t>
    </rPh>
    <phoneticPr fontId="10"/>
  </si>
  <si>
    <t>「削除できません」と表示されること</t>
    <rPh sb="1" eb="3">
      <t>サクジョ</t>
    </rPh>
    <rPh sb="3" eb="5">
      <t>ヒョウジ</t>
    </rPh>
    <phoneticPr fontId="10"/>
  </si>
  <si>
    <t>備品一覧</t>
    <rPh sb="0" eb="4">
      <t>ビヒンイチラン</t>
    </rPh>
    <phoneticPr fontId="10"/>
  </si>
  <si>
    <t>備品一覧に追加されること</t>
    <rPh sb="0" eb="4">
      <t>ビヒンイチラン</t>
    </rPh>
    <rPh sb="5" eb="7">
      <t>ツイカ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</si>
  <si>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3</t>
    </r>
    <r>
      <rPr>
        <sz val="10"/>
        <color theme="1"/>
        <rFont val="ＭＳ ゴシック"/>
        <family val="2"/>
        <charset val="128"/>
      </rPr>
      <t>.登録ボタンを押下する</t>
    </r>
    <rPh sb="9" eb="13">
      <t>ビヒンイチラン</t>
    </rPh>
    <rPh sb="45" eb="47">
      <t>トウロク</t>
    </rPh>
    <rPh sb="51" eb="53">
      <t>オウカ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</si>
  <si>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3</t>
    </r>
    <r>
      <rPr>
        <sz val="10"/>
        <color theme="1"/>
        <rFont val="ＭＳ ゴシック"/>
        <family val="2"/>
        <charset val="128"/>
      </rPr>
      <t>.削除ボタンを押下する</t>
    </r>
    <rPh sb="9" eb="13">
      <t>ビヒンイチラン</t>
    </rPh>
    <rPh sb="45" eb="47">
      <t>サクジョ</t>
    </rPh>
    <rPh sb="51" eb="53">
      <t>オウカ</t>
    </rPh>
    <phoneticPr fontId="10"/>
  </si>
  <si>
    <t>備品一覧から削除されること</t>
    <rPh sb="0" eb="4">
      <t>ビヒンイチラン</t>
    </rPh>
    <rPh sb="6" eb="8">
      <t>サクジョ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</si>
  <si>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3</t>
    </r>
    <r>
      <rPr>
        <sz val="10"/>
        <color theme="1"/>
        <rFont val="ＭＳ ゴシック"/>
        <family val="2"/>
        <charset val="128"/>
      </rPr>
      <t>.貸出ボタンを押下する</t>
    </r>
    <rPh sb="9" eb="13">
      <t>ビヒンイチラン</t>
    </rPh>
    <rPh sb="45" eb="47">
      <t>カシダシ</t>
    </rPh>
    <rPh sb="51" eb="53">
      <t>オウカ</t>
    </rPh>
    <phoneticPr fontId="10"/>
  </si>
  <si>
    <t>備品一覧の使用回数が１増えること</t>
    <rPh sb="0" eb="4">
      <t>ビヒンイチラン</t>
    </rPh>
    <rPh sb="5" eb="9">
      <t>シヨウカイスウ</t>
    </rPh>
    <rPh sb="11" eb="12">
      <t>フ</t>
    </rPh>
    <phoneticPr fontId="10"/>
  </si>
  <si>
    <t>ホーム画面に、画面遷移していること
備品「PC」が登録されていないこと</t>
    <rPh sb="3" eb="5">
      <t>ガメン</t>
    </rPh>
    <rPh sb="7" eb="9">
      <t>ガメン</t>
    </rPh>
    <rPh sb="9" eb="11">
      <t>センイ</t>
    </rPh>
    <rPh sb="18" eb="20">
      <t>ビヒン</t>
    </rPh>
    <phoneticPr fontId="10"/>
  </si>
  <si>
    <t>設計書の「画面イメージ」と実際の表示項目が同一であることを確認し、PCのWEBブラウザにて、レイアウト崩れがないことを確認する</t>
    <rPh sb="5" eb="7">
      <t>ガメン</t>
    </rPh>
    <phoneticPr fontId="10"/>
  </si>
  <si>
    <r>
      <rPr>
        <sz val="10"/>
        <color theme="1"/>
        <rFont val="ＭＳ ゴシック"/>
        <family val="3"/>
        <charset val="128"/>
      </rPr>
      <t>画面上に項目が存在すること</t>
    </r>
    <r>
      <rPr>
        <sz val="10"/>
        <color theme="1"/>
        <rFont val="Arial"/>
        <family val="2"/>
        <scheme val="minor"/>
      </rPr>
      <t>、レイアウトの崩れがないこと
項目の重なりがないこと</t>
    </r>
    <phoneticPr fontId="10"/>
  </si>
  <si>
    <t>備品入力されていないので、テキストボックスに「このフィールドに入力してください」とエラー表示が出る</t>
    <rPh sb="0" eb="4">
      <t>ビヒンニュウリョク</t>
    </rPh>
    <rPh sb="31" eb="33">
      <t>ニュウリョク</t>
    </rPh>
    <rPh sb="44" eb="46">
      <t>ヒョウジ</t>
    </rPh>
    <rPh sb="47" eb="48">
      <t>デ</t>
    </rPh>
    <phoneticPr fontId="10"/>
  </si>
  <si>
    <t>部品の種類毎に操作が可能なこと</t>
    <phoneticPr fontId="10"/>
  </si>
  <si>
    <t>入力の型が対応されていること</t>
    <rPh sb="0" eb="2">
      <t>ニュウリョク</t>
    </rPh>
    <rPh sb="3" eb="4">
      <t>カタ</t>
    </rPh>
    <rPh sb="5" eb="7">
      <t>タイオウ</t>
    </rPh>
    <phoneticPr fontId="10"/>
  </si>
  <si>
    <t>入力文字数の境界値</t>
    <rPh sb="0" eb="2">
      <t>ニュウリョク</t>
    </rPh>
    <rPh sb="2" eb="5">
      <t>モジスウ</t>
    </rPh>
    <rPh sb="6" eb="8">
      <t>キョウカイ</t>
    </rPh>
    <rPh sb="8" eb="9">
      <t>チ</t>
    </rPh>
    <phoneticPr fontId="10"/>
  </si>
  <si>
    <r>
      <rPr>
        <sz val="10"/>
        <color theme="1"/>
        <rFont val="ＭＳ ゴシック"/>
        <family val="3"/>
        <charset val="128"/>
      </rPr>
      <t>備品名を入力し、ボタンを押下時の結果のメッセージ</t>
    </r>
    <r>
      <rPr>
        <sz val="10"/>
        <color theme="1"/>
        <rFont val="Arial"/>
        <family val="2"/>
        <scheme val="minor"/>
      </rPr>
      <t>表示</t>
    </r>
    <rPh sb="0" eb="3">
      <t>ビヒンメイ</t>
    </rPh>
    <rPh sb="4" eb="6">
      <t>ニュウリョク</t>
    </rPh>
    <rPh sb="12" eb="14">
      <t>オウカ</t>
    </rPh>
    <rPh sb="14" eb="15">
      <t>トキ</t>
    </rPh>
    <rPh sb="16" eb="18">
      <t>ケッカ</t>
    </rPh>
    <rPh sb="24" eb="26">
      <t>ヒョウジ</t>
    </rPh>
    <phoneticPr fontId="10"/>
  </si>
  <si>
    <t>ボタン押下時に備品一覧が更新されるか確認すること</t>
    <rPh sb="3" eb="6">
      <t>オウカジ</t>
    </rPh>
    <rPh sb="7" eb="11">
      <t>ビヒンイチラン</t>
    </rPh>
    <rPh sb="12" eb="14">
      <t>コウシン</t>
    </rPh>
    <rPh sb="18" eb="20">
      <t>カクニン</t>
    </rPh>
    <phoneticPr fontId="10"/>
  </si>
  <si>
    <t>備品一覧（ID、備品名称、状態、使用回数）がDBのテーブル通りに表示されること</t>
    <phoneticPr fontId="10"/>
  </si>
  <si>
    <t>ホーム画面
&gt;テキストボックスで備品名を入力する
&gt;備品を登録、貸出、返却、削除するボタンのいずれかを押下
&gt;メッセージ表示
&gt;備品一覧表示</t>
    <rPh sb="3" eb="5">
      <t>ガメン</t>
    </rPh>
    <rPh sb="26" eb="28">
      <t>ビヒン</t>
    </rPh>
    <rPh sb="29" eb="31">
      <t>トウロク</t>
    </rPh>
    <rPh sb="32" eb="34">
      <t>カシダシ</t>
    </rPh>
    <rPh sb="35" eb="37">
      <t>ヘンキャク</t>
    </rPh>
    <rPh sb="38" eb="40">
      <t>サクジョ</t>
    </rPh>
    <rPh sb="51" eb="53">
      <t>オウカ</t>
    </rPh>
    <rPh sb="60" eb="62">
      <t>ヒョウジ</t>
    </rPh>
    <rPh sb="64" eb="70">
      <t>ビヒンイチランヒョウジ</t>
    </rPh>
    <phoneticPr fontId="10"/>
  </si>
  <si>
    <t>登録</t>
    <rPh sb="0" eb="2">
      <t>トウロク</t>
    </rPh>
    <phoneticPr fontId="10"/>
  </si>
  <si>
    <t>貸出</t>
    <rPh sb="0" eb="2">
      <t>カシダシ</t>
    </rPh>
    <phoneticPr fontId="10"/>
  </si>
  <si>
    <t>返却</t>
    <rPh sb="0" eb="2">
      <t>ヘンキャク</t>
    </rPh>
    <phoneticPr fontId="10"/>
  </si>
  <si>
    <t>エラー処理動作</t>
    <rPh sb="3" eb="7">
      <t>ショリドウサ</t>
    </rPh>
    <phoneticPr fontId="10"/>
  </si>
  <si>
    <t>ボタン押下時に、その希望の処理に対応するメッセージが表示されるか確認すること</t>
    <rPh sb="3" eb="6">
      <t>オウカジ</t>
    </rPh>
    <rPh sb="10" eb="12">
      <t>キボウ</t>
    </rPh>
    <rPh sb="13" eb="15">
      <t>ショリ</t>
    </rPh>
    <rPh sb="16" eb="18">
      <t>タイオウ</t>
    </rPh>
    <rPh sb="26" eb="28">
      <t>ヒョウジ</t>
    </rPh>
    <rPh sb="32" eb="34">
      <t>カクニン</t>
    </rPh>
    <phoneticPr fontId="10"/>
  </si>
  <si>
    <t>DB接続の確認</t>
    <rPh sb="2" eb="4">
      <t>セツゾク</t>
    </rPh>
    <rPh sb="5" eb="7">
      <t>カクニン</t>
    </rPh>
    <phoneticPr fontId="10"/>
  </si>
  <si>
    <t>DBのテーブルを見て更新されているか確認</t>
    <rPh sb="8" eb="9">
      <t>ミ</t>
    </rPh>
    <rPh sb="10" eb="12">
      <t>コウシン</t>
    </rPh>
    <rPh sb="18" eb="20">
      <t>カクニン</t>
    </rPh>
    <phoneticPr fontId="10"/>
  </si>
  <si>
    <t>ホーム画面
&gt;テキストボックスで備品名を入力する
&gt;備品を登録、貸出、返却、削除するボタンのいずれかを押下
&gt;メッセージ表示
&gt;備品一覧表示</t>
    <rPh sb="8" eb="9">
      <t>ミ</t>
    </rPh>
    <rPh sb="10" eb="12">
      <t>コウシン</t>
    </rPh>
    <rPh sb="18" eb="20">
      <t>カクニン</t>
    </rPh>
    <phoneticPr fontId="10"/>
  </si>
  <si>
    <t>DB</t>
    <phoneticPr fontId="10"/>
  </si>
  <si>
    <t>ホーム画面に、画面遷移していること
備品「PC」が登録されていないこと</t>
    <rPh sb="3" eb="5">
      <t>ガメン</t>
    </rPh>
    <rPh sb="7" eb="9">
      <t>ガメン</t>
    </rPh>
    <rPh sb="9" eb="11">
      <t>センイ</t>
    </rPh>
    <rPh sb="18" eb="20">
      <t>ビヒン</t>
    </rPh>
    <rPh sb="25" eb="27">
      <t>トウロク</t>
    </rPh>
    <phoneticPr fontId="10"/>
  </si>
  <si>
    <t>DBのテーブル：bihininfoにID（自動採番）・PC（備品名）・true（状態）、テーブル：usenumにID（bihininfoと同じID）・０（使用回数）が入っている。</t>
    <rPh sb="21" eb="25">
      <t>ジドウサイバン</t>
    </rPh>
    <rPh sb="30" eb="33">
      <t>ビヒンメイ</t>
    </rPh>
    <rPh sb="40" eb="42">
      <t>ジョウタイ</t>
    </rPh>
    <rPh sb="69" eb="70">
      <t>オナ</t>
    </rPh>
    <rPh sb="77" eb="81">
      <t>シヨウカイスウ</t>
    </rPh>
    <rPh sb="83" eb="84">
      <t>ハイ</t>
    </rPh>
    <phoneticPr fontId="10"/>
  </si>
  <si>
    <t>tru-catch内で意図的に例外エラーを発生させて、表示メッセージを確認</t>
    <rPh sb="9" eb="10">
      <t>ナイ</t>
    </rPh>
    <rPh sb="11" eb="14">
      <t>イトテキ</t>
    </rPh>
    <rPh sb="15" eb="17">
      <t>レイガイ</t>
    </rPh>
    <rPh sb="21" eb="23">
      <t>ハッセイ</t>
    </rPh>
    <rPh sb="27" eb="29">
      <t>ヒョウジ</t>
    </rPh>
    <rPh sb="35" eb="37">
      <t>カクニン</t>
    </rPh>
    <phoneticPr fontId="10"/>
  </si>
  <si>
    <t>メッセージ欄</t>
    <rPh sb="5" eb="6">
      <t>ラン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</si>
  <si>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3</t>
    </r>
    <r>
      <rPr>
        <sz val="10"/>
        <color theme="1"/>
        <rFont val="ＭＳ ゴシック"/>
        <family val="2"/>
        <charset val="128"/>
      </rPr>
      <t>.登録ボタンを押下する
4.意図的に例外エラーを発生させる</t>
    </r>
    <rPh sb="9" eb="13">
      <t>ビヒンイチラン</t>
    </rPh>
    <rPh sb="45" eb="47">
      <t>トウロク</t>
    </rPh>
    <rPh sb="51" eb="53">
      <t>オウカ</t>
    </rPh>
    <rPh sb="58" eb="61">
      <t>イトテキ</t>
    </rPh>
    <rPh sb="62" eb="64">
      <t>レイガイ</t>
    </rPh>
    <rPh sb="68" eb="70">
      <t>ハッセイ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</si>
  <si>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3</t>
    </r>
    <r>
      <rPr>
        <sz val="10"/>
        <color theme="1"/>
        <rFont val="ＭＳ ゴシック"/>
        <family val="2"/>
        <charset val="128"/>
      </rPr>
      <t>.貸出ボタンを押下する
4.意図的に例外エラーを発生させる</t>
    </r>
    <rPh sb="9" eb="13">
      <t>ビヒンイチラン</t>
    </rPh>
    <rPh sb="45" eb="47">
      <t>カシダシ</t>
    </rPh>
    <rPh sb="51" eb="53">
      <t>オウカ</t>
    </rPh>
    <rPh sb="58" eb="61">
      <t>イトテキ</t>
    </rPh>
    <rPh sb="62" eb="64">
      <t>レイガイ</t>
    </rPh>
    <rPh sb="68" eb="70">
      <t>ハッセイ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</si>
  <si>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3</t>
    </r>
    <r>
      <rPr>
        <sz val="10"/>
        <color theme="1"/>
        <rFont val="ＭＳ ゴシック"/>
        <family val="2"/>
        <charset val="128"/>
      </rPr>
      <t>.返却ボタンを押下する
4.意図的に例外エラーを発生させる</t>
    </r>
    <rPh sb="9" eb="13">
      <t>ビヒンイチラン</t>
    </rPh>
    <rPh sb="45" eb="47">
      <t>ヘンキャク</t>
    </rPh>
    <rPh sb="51" eb="53">
      <t>オウカ</t>
    </rPh>
    <rPh sb="58" eb="61">
      <t>イトテキ</t>
    </rPh>
    <rPh sb="62" eb="64">
      <t>レイガイ</t>
    </rPh>
    <rPh sb="68" eb="70">
      <t>ハッセイ</t>
    </rPh>
    <phoneticPr fontId="10"/>
  </si>
  <si>
    <r>
      <t>1.</t>
    </r>
    <r>
      <rPr>
        <sz val="10"/>
        <color theme="1"/>
        <rFont val="ＭＳ ゴシック"/>
        <family val="3"/>
        <charset val="128"/>
      </rPr>
      <t xml:space="preserve">起動経路から「備品一覧」画面を開く
</t>
    </r>
    <r>
      <rPr>
        <sz val="10"/>
        <color theme="1"/>
        <rFont val="Arial"/>
        <family val="2"/>
        <scheme val="minor"/>
      </rPr>
      <t>2.</t>
    </r>
    <r>
      <rPr>
        <sz val="10"/>
        <color theme="1"/>
        <rFont val="ＭＳ ゴシック"/>
        <family val="3"/>
        <charset val="128"/>
      </rPr>
      <t>テキストボックスに入力値の内容を入力する</t>
    </r>
    <r>
      <rPr>
        <sz val="10"/>
        <color theme="1"/>
        <rFont val="Arial"/>
        <family val="2"/>
        <scheme val="minor"/>
      </rPr>
      <t xml:space="preserve">
3</t>
    </r>
    <r>
      <rPr>
        <sz val="10"/>
        <color theme="1"/>
        <rFont val="ＭＳ ゴシック"/>
        <family val="2"/>
        <charset val="128"/>
      </rPr>
      <t>.削除ボタンを押下する
4.意図的に例外エラーを発生させる</t>
    </r>
    <rPh sb="9" eb="13">
      <t>ビヒンイチラン</t>
    </rPh>
    <rPh sb="45" eb="47">
      <t>サクジョ</t>
    </rPh>
    <rPh sb="51" eb="53">
      <t>オウカ</t>
    </rPh>
    <rPh sb="58" eb="61">
      <t>イトテキ</t>
    </rPh>
    <rPh sb="62" eb="64">
      <t>レイガイ</t>
    </rPh>
    <rPh sb="68" eb="70">
      <t>ハッセイ</t>
    </rPh>
    <phoneticPr fontId="10"/>
  </si>
  <si>
    <t>「予期せぬエラーが発生しました」と表示されること</t>
    <rPh sb="1" eb="3">
      <t>ヨキ</t>
    </rPh>
    <rPh sb="9" eb="11">
      <t>ハッセイ</t>
    </rPh>
    <rPh sb="17" eb="19">
      <t>ヒョウジ</t>
    </rPh>
    <phoneticPr fontId="10"/>
  </si>
  <si>
    <t>成瀬</t>
    <rPh sb="0" eb="2">
      <t>ナルセ</t>
    </rPh>
    <phoneticPr fontId="10"/>
  </si>
  <si>
    <t>備品一覧（id）</t>
    <rPh sb="0" eb="4">
      <t>ビヒンイチラン</t>
    </rPh>
    <phoneticPr fontId="10"/>
  </si>
  <si>
    <r>
      <rPr>
        <sz val="10"/>
        <color theme="1"/>
        <rFont val="Segoe UI Symbol"/>
        <family val="2"/>
      </rPr>
      <t>■</t>
    </r>
    <r>
      <rPr>
        <sz val="10"/>
        <color theme="1"/>
        <rFont val="ＭＳ Ｐゴシック"/>
        <family val="2"/>
        <charset val="128"/>
      </rPr>
      <t>全角</t>
    </r>
    <r>
      <rPr>
        <sz val="10"/>
        <color theme="1"/>
        <rFont val="ＭＳ ゴシック"/>
        <family val="3"/>
        <charset val="128"/>
      </rPr>
      <t>混合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ＭＳ ゴシック"/>
        <family val="3"/>
        <charset val="128"/>
      </rPr>
      <t>ＡＢａｂ１２？＞</t>
    </r>
    <rPh sb="1" eb="3">
      <t>ゼンカク</t>
    </rPh>
    <rPh sb="3" eb="5">
      <t>コンゴウ</t>
    </rPh>
    <phoneticPr fontId="10"/>
  </si>
  <si>
    <t>名称の文字が重なってしまう</t>
    <rPh sb="0" eb="2">
      <t>メイショウ</t>
    </rPh>
    <rPh sb="3" eb="5">
      <t>モジ</t>
    </rPh>
    <rPh sb="6" eb="7">
      <t>カサ</t>
    </rPh>
    <phoneticPr fontId="10"/>
  </si>
  <si>
    <r>
      <rPr>
        <sz val="10"/>
        <color theme="1"/>
        <rFont val="ＭＳ ゴシック"/>
        <family val="3"/>
        <charset val="128"/>
      </rPr>
      <t>「予期せぬエラーが発生しました」と表示されるので、「</t>
    </r>
    <r>
      <rPr>
        <sz val="10"/>
        <color theme="1"/>
        <rFont val="Arial"/>
        <family val="2"/>
        <scheme val="minor"/>
      </rPr>
      <t>50</t>
    </r>
    <r>
      <rPr>
        <sz val="10"/>
        <color theme="1"/>
        <rFont val="ＭＳ ゴシック"/>
        <family val="3"/>
        <charset val="128"/>
      </rPr>
      <t>文字以内で入力してください」のエラー表示のほうが良い</t>
    </r>
    <rPh sb="28" eb="30">
      <t>モジ</t>
    </rPh>
    <rPh sb="30" eb="32">
      <t>イナイ</t>
    </rPh>
    <rPh sb="33" eb="35">
      <t>ニュウリョク</t>
    </rPh>
    <rPh sb="46" eb="48">
      <t>ヒョウジ</t>
    </rPh>
    <rPh sb="52" eb="53">
      <t>ヨ</t>
    </rPh>
    <phoneticPr fontId="10"/>
  </si>
  <si>
    <t>No.1～9</t>
    <phoneticPr fontId="10"/>
  </si>
  <si>
    <t>No.10~13</t>
    <phoneticPr fontId="10"/>
  </si>
  <si>
    <t>No.14</t>
    <phoneticPr fontId="10"/>
  </si>
  <si>
    <t>No.15</t>
  </si>
  <si>
    <t>No.16</t>
  </si>
  <si>
    <t>No.17</t>
  </si>
  <si>
    <t>No.18</t>
  </si>
  <si>
    <t>No.19</t>
  </si>
  <si>
    <t>No.20</t>
  </si>
  <si>
    <t>No.21</t>
  </si>
  <si>
    <t>No.22</t>
  </si>
  <si>
    <t>No.23</t>
  </si>
  <si>
    <t>No.24</t>
  </si>
  <si>
    <t>No.25</t>
  </si>
  <si>
    <t>No.26</t>
  </si>
  <si>
    <t>No.27</t>
  </si>
  <si>
    <t>No.28</t>
  </si>
  <si>
    <t>No.29</t>
  </si>
  <si>
    <t>No.30</t>
  </si>
  <si>
    <t>No.31</t>
  </si>
  <si>
    <t>No.32</t>
  </si>
  <si>
    <t>No.33</t>
  </si>
  <si>
    <t>No.34</t>
  </si>
  <si>
    <t>No.35</t>
  </si>
  <si>
    <t>No.36</t>
  </si>
  <si>
    <t>No.37</t>
  </si>
  <si>
    <t>No.38</t>
  </si>
  <si>
    <t>No.39</t>
  </si>
  <si>
    <t>No.40</t>
  </si>
  <si>
    <t>ホーム画面に、画面遷移していること
備品「PC」が登録されていること</t>
    <rPh sb="3" eb="5">
      <t>ガメン</t>
    </rPh>
    <rPh sb="7" eb="9">
      <t>ガメン</t>
    </rPh>
    <rPh sb="9" eb="11">
      <t>センイ</t>
    </rPh>
    <rPh sb="18" eb="20">
      <t>ビヒン</t>
    </rPh>
    <phoneticPr fontId="10"/>
  </si>
  <si>
    <t>No.41</t>
  </si>
  <si>
    <t>No.42</t>
  </si>
  <si>
    <t>No.43</t>
  </si>
  <si>
    <t>No.44</t>
  </si>
  <si>
    <t>No.45</t>
  </si>
  <si>
    <t>No.46</t>
  </si>
  <si>
    <t>No.47</t>
  </si>
  <si>
    <t>No.48</t>
  </si>
  <si>
    <r>
      <rPr>
        <sz val="10"/>
        <color theme="1"/>
        <rFont val="Segoe UI Symbol"/>
        <family val="2"/>
      </rPr>
      <t>■29</t>
    </r>
    <r>
      <rPr>
        <sz val="10"/>
        <color theme="1"/>
        <rFont val="ＭＳ Ｐゴシック"/>
        <family val="2"/>
        <charset val="128"/>
      </rPr>
      <t>文字</t>
    </r>
    <rPh sb="3" eb="5">
      <t>モジ</t>
    </rPh>
    <phoneticPr fontId="10"/>
  </si>
  <si>
    <r>
      <rPr>
        <sz val="10"/>
        <color theme="1"/>
        <rFont val="Segoe UI Symbol"/>
        <family val="2"/>
      </rPr>
      <t>■30文字</t>
    </r>
    <r>
      <rPr>
        <sz val="10"/>
        <color theme="1"/>
        <rFont val="ＭＳ Ｐゴシック"/>
        <family val="2"/>
        <charset val="128"/>
      </rPr>
      <t/>
    </r>
    <rPh sb="3" eb="5">
      <t>モジ</t>
    </rPh>
    <phoneticPr fontId="10"/>
  </si>
  <si>
    <r>
      <rPr>
        <sz val="10"/>
        <color theme="1"/>
        <rFont val="Segoe UI Symbol"/>
        <family val="2"/>
      </rPr>
      <t>■31文字</t>
    </r>
    <r>
      <rPr>
        <sz val="10"/>
        <color theme="1"/>
        <rFont val="ＭＳ Ｐゴシック"/>
        <family val="2"/>
        <charset val="128"/>
      </rPr>
      <t/>
    </r>
    <rPh sb="3" eb="5">
      <t>モジ</t>
    </rPh>
    <phoneticPr fontId="10"/>
  </si>
  <si>
    <t>「３０文字以内で入力してください」と表示されること</t>
    <rPh sb="3" eb="7">
      <t>モジイナイ</t>
    </rPh>
    <rPh sb="8" eb="10">
      <t>ニュウリョク</t>
    </rPh>
    <rPh sb="18" eb="20">
      <t>ヒョウジ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</si>
</sst>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2" x14ac:knownFonts="1">
    <font>
      <sz val="10"/>
      <color rgb="FF000000"/>
      <name val="Arial"/>
      <scheme val="minor"/>
    </font>
    <font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Arial"/>
      <family val="3"/>
      <charset val="128"/>
      <scheme val="minor"/>
    </font>
    <font>
      <sz val="10"/>
      <color theme="1"/>
      <name val="Arial"/>
      <family val="3"/>
    </font>
    <font>
      <sz val="10"/>
      <color theme="1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游ゴシック"/>
      <family val="2"/>
      <charset val="128"/>
    </font>
    <font>
      <sz val="11"/>
      <color theme="1"/>
      <name val="Arial"/>
      <family val="3"/>
      <charset val="128"/>
    </font>
    <font>
      <sz val="10"/>
      <color theme="1"/>
      <name val="Segoe UI Symbol"/>
      <family val="2"/>
    </font>
    <font>
      <sz val="10"/>
      <color theme="1"/>
      <name val="メイリオ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B45F06"/>
        <bgColor rgb="FFB45F06"/>
      </patternFill>
    </fill>
    <fill>
      <patternFill patternType="solid">
        <fgColor rgb="FF351C75"/>
        <bgColor rgb="FF351C75"/>
      </patternFill>
    </fill>
    <fill>
      <patternFill patternType="solid">
        <fgColor rgb="FF38761D"/>
        <bgColor rgb="FF38761D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176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3" borderId="5" xfId="0" applyFont="1" applyFill="1" applyBorder="1" applyAlignment="1">
      <alignment wrapText="1"/>
    </xf>
    <xf numFmtId="0" fontId="7" fillId="3" borderId="5" xfId="0" applyFont="1" applyFill="1" applyBorder="1"/>
    <xf numFmtId="0" fontId="6" fillId="0" borderId="0" xfId="0" applyFont="1"/>
    <xf numFmtId="0" fontId="6" fillId="0" borderId="5" xfId="0" applyFont="1" applyBorder="1" applyAlignment="1">
      <alignment wrapText="1"/>
    </xf>
    <xf numFmtId="0" fontId="6" fillId="0" borderId="5" xfId="0" applyFont="1" applyBorder="1"/>
    <xf numFmtId="0" fontId="7" fillId="4" borderId="8" xfId="0" applyFont="1" applyFill="1" applyBorder="1"/>
    <xf numFmtId="0" fontId="7" fillId="4" borderId="4" xfId="0" applyFont="1" applyFill="1" applyBorder="1" applyAlignment="1">
      <alignment wrapText="1"/>
    </xf>
    <xf numFmtId="0" fontId="7" fillId="4" borderId="4" xfId="0" applyFont="1" applyFill="1" applyBorder="1"/>
    <xf numFmtId="0" fontId="7" fillId="4" borderId="3" xfId="0" applyFont="1" applyFill="1" applyBorder="1"/>
    <xf numFmtId="0" fontId="7" fillId="5" borderId="8" xfId="0" applyFont="1" applyFill="1" applyBorder="1"/>
    <xf numFmtId="0" fontId="6" fillId="5" borderId="4" xfId="0" applyFont="1" applyFill="1" applyBorder="1"/>
    <xf numFmtId="0" fontId="6" fillId="5" borderId="3" xfId="0" applyFont="1" applyFill="1" applyBorder="1"/>
    <xf numFmtId="0" fontId="7" fillId="4" borderId="5" xfId="0" applyFont="1" applyFill="1" applyBorder="1"/>
    <xf numFmtId="0" fontId="7" fillId="4" borderId="5" xfId="0" applyFont="1" applyFill="1" applyBorder="1" applyAlignment="1">
      <alignment wrapText="1"/>
    </xf>
    <xf numFmtId="0" fontId="7" fillId="5" borderId="5" xfId="0" applyFont="1" applyFill="1" applyBorder="1"/>
    <xf numFmtId="176" fontId="9" fillId="0" borderId="5" xfId="0" applyNumberFormat="1" applyFont="1" applyBorder="1"/>
    <xf numFmtId="0" fontId="9" fillId="0" borderId="5" xfId="0" applyFont="1" applyBorder="1"/>
    <xf numFmtId="0" fontId="5" fillId="0" borderId="5" xfId="0" applyFont="1" applyBorder="1" applyAlignment="1">
      <alignment wrapText="1"/>
    </xf>
    <xf numFmtId="0" fontId="4" fillId="0" borderId="0" xfId="0" applyFont="1"/>
    <xf numFmtId="176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2" borderId="4" xfId="0" applyFont="1" applyFill="1" applyBorder="1"/>
    <xf numFmtId="0" fontId="4" fillId="2" borderId="7" xfId="0" applyFont="1" applyFill="1" applyBorder="1"/>
    <xf numFmtId="176" fontId="5" fillId="0" borderId="9" xfId="0" applyNumberFormat="1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1" fillId="0" borderId="5" xfId="0" applyFont="1" applyBorder="1" applyAlignment="1">
      <alignment wrapText="1"/>
    </xf>
    <xf numFmtId="0" fontId="16" fillId="0" borderId="5" xfId="0" applyFont="1" applyBorder="1" applyAlignment="1">
      <alignment wrapText="1"/>
    </xf>
    <xf numFmtId="0" fontId="6" fillId="0" borderId="10" xfId="0" applyFont="1" applyBorder="1"/>
    <xf numFmtId="0" fontId="11" fillId="0" borderId="10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176" fontId="9" fillId="0" borderId="10" xfId="0" applyNumberFormat="1" applyFont="1" applyBorder="1"/>
    <xf numFmtId="0" fontId="9" fillId="0" borderId="10" xfId="0" applyFont="1" applyBorder="1"/>
    <xf numFmtId="0" fontId="6" fillId="0" borderId="9" xfId="0" applyFont="1" applyBorder="1"/>
    <xf numFmtId="0" fontId="11" fillId="0" borderId="9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6" fillId="0" borderId="9" xfId="0" applyFont="1" applyBorder="1" applyAlignment="1">
      <alignment wrapText="1"/>
    </xf>
    <xf numFmtId="176" fontId="9" fillId="0" borderId="9" xfId="0" applyNumberFormat="1" applyFont="1" applyBorder="1"/>
    <xf numFmtId="0" fontId="9" fillId="0" borderId="9" xfId="0" applyFont="1" applyBorder="1"/>
    <xf numFmtId="0" fontId="15" fillId="0" borderId="10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15" fillId="0" borderId="1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0" fillId="0" borderId="11" xfId="0" applyBorder="1"/>
    <xf numFmtId="0" fontId="16" fillId="0" borderId="12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8" fillId="0" borderId="26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8" fillId="0" borderId="27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5" fillId="0" borderId="12" xfId="0" applyFont="1" applyBorder="1" applyAlignment="1">
      <alignment wrapText="1"/>
    </xf>
    <xf numFmtId="0" fontId="0" fillId="0" borderId="28" xfId="0" applyBorder="1"/>
    <xf numFmtId="0" fontId="11" fillId="0" borderId="0" xfId="0" applyFont="1" applyAlignment="1">
      <alignment wrapText="1"/>
    </xf>
    <xf numFmtId="0" fontId="8" fillId="0" borderId="18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0" fillId="0" borderId="14" xfId="0" applyBorder="1"/>
    <xf numFmtId="0" fontId="11" fillId="0" borderId="22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1" fillId="0" borderId="16" xfId="0" applyFont="1" applyBorder="1" applyAlignment="1">
      <alignment wrapText="1"/>
    </xf>
    <xf numFmtId="0" fontId="16" fillId="0" borderId="16" xfId="0" applyFont="1" applyBorder="1" applyAlignment="1">
      <alignment wrapText="1"/>
    </xf>
    <xf numFmtId="0" fontId="11" fillId="0" borderId="31" xfId="0" applyFont="1" applyBorder="1" applyAlignment="1">
      <alignment wrapText="1"/>
    </xf>
    <xf numFmtId="0" fontId="13" fillId="0" borderId="5" xfId="0" applyFont="1" applyBorder="1" applyAlignment="1">
      <alignment wrapText="1"/>
    </xf>
    <xf numFmtId="56" fontId="6" fillId="0" borderId="5" xfId="0" applyNumberFormat="1" applyFont="1" applyBorder="1"/>
    <xf numFmtId="14" fontId="6" fillId="0" borderId="5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19" fillId="0" borderId="2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58"/>
  <sheetViews>
    <sheetView tabSelected="1" zoomScale="60" zoomScaleNormal="60" workbookViewId="0">
      <pane ySplit="9" topLeftCell="A10" activePane="bottomLeft" state="frozen"/>
      <selection pane="bottomLeft" activeCell="P40" sqref="P40"/>
    </sheetView>
  </sheetViews>
  <sheetFormatPr defaultColWidth="12.5546875" defaultRowHeight="15.75" customHeight="1" x14ac:dyDescent="0.25"/>
  <cols>
    <col min="1" max="1" width="10.21875" customWidth="1"/>
    <col min="2" max="2" width="15" customWidth="1"/>
    <col min="3" max="3" width="17.5546875" customWidth="1"/>
    <col min="4" max="4" width="34.5546875" customWidth="1"/>
    <col min="5" max="5" width="63.5546875" customWidth="1"/>
    <col min="6" max="6" width="14.77734375" customWidth="1"/>
    <col min="7" max="7" width="21.77734375" customWidth="1"/>
    <col min="8" max="9" width="16" customWidth="1"/>
    <col min="10" max="10" width="27.5546875" customWidth="1"/>
    <col min="11" max="11" width="38.44140625" customWidth="1"/>
    <col min="12" max="12" width="22.5546875" customWidth="1"/>
    <col min="13" max="13" width="52.77734375" customWidth="1"/>
    <col min="14" max="14" width="21" customWidth="1"/>
    <col min="15" max="15" width="11.77734375" customWidth="1"/>
    <col min="16" max="16" width="12.21875" customWidth="1"/>
    <col min="17" max="17" width="8.5546875" customWidth="1"/>
    <col min="18" max="18" width="19.5546875" customWidth="1"/>
    <col min="19" max="19" width="21.44140625" customWidth="1"/>
    <col min="20" max="20" width="13.44140625" customWidth="1"/>
    <col min="21" max="21" width="14.44140625" customWidth="1"/>
    <col min="22" max="22" width="17.5546875" customWidth="1"/>
    <col min="23" max="25" width="12.5546875" customWidth="1"/>
    <col min="26" max="28" width="10.21875" customWidth="1"/>
  </cols>
  <sheetData>
    <row r="1" spans="1:25" ht="13.8" x14ac:dyDescent="0.25">
      <c r="A1" s="97" t="s">
        <v>0</v>
      </c>
      <c r="B1" s="98"/>
      <c r="C1" s="101" t="s">
        <v>64</v>
      </c>
      <c r="D1" s="98"/>
      <c r="E1" s="98"/>
      <c r="F1" s="26" t="s">
        <v>1</v>
      </c>
      <c r="G1" s="28">
        <v>46115</v>
      </c>
      <c r="H1" s="23"/>
      <c r="I1" s="24"/>
      <c r="J1" s="1"/>
      <c r="K1" s="2"/>
      <c r="L1" s="2"/>
      <c r="M1" s="2"/>
      <c r="N1" s="2"/>
      <c r="O1" s="2"/>
    </row>
    <row r="2" spans="1:25" ht="13.8" x14ac:dyDescent="0.25">
      <c r="A2" s="99"/>
      <c r="B2" s="100"/>
      <c r="C2" s="100"/>
      <c r="D2" s="100"/>
      <c r="E2" s="100"/>
      <c r="F2" s="27" t="s">
        <v>2</v>
      </c>
      <c r="G2" s="29" t="s">
        <v>65</v>
      </c>
      <c r="H2" s="23"/>
      <c r="I2" s="25"/>
      <c r="J2" s="3"/>
      <c r="K2" s="2"/>
      <c r="L2" s="2"/>
      <c r="M2" s="2"/>
      <c r="N2" s="2"/>
      <c r="O2" s="2"/>
    </row>
    <row r="3" spans="1:25" ht="13.2" x14ac:dyDescent="0.25">
      <c r="B3" s="4"/>
      <c r="C3" s="4"/>
      <c r="D3" s="4"/>
      <c r="E3" s="4"/>
      <c r="G3" s="4"/>
    </row>
    <row r="4" spans="1:25" ht="13.2" x14ac:dyDescent="0.25"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5" t="s">
        <v>8</v>
      </c>
    </row>
    <row r="5" spans="1:25" ht="13.2" x14ac:dyDescent="0.25">
      <c r="A5" s="7"/>
      <c r="B5" s="8">
        <f>COUNT(A10:A486)</f>
        <v>48</v>
      </c>
      <c r="C5" s="8">
        <f>COUNTIF(P:P,"未実施")</f>
        <v>0</v>
      </c>
      <c r="D5" s="8">
        <f>COUNTIF(P:P,"OK")</f>
        <v>48</v>
      </c>
      <c r="E5" s="8">
        <f>COUNTIF(P:P,"NG")</f>
        <v>0</v>
      </c>
      <c r="F5" s="9">
        <f>COUNTIF(P:P,"保留")</f>
        <v>0</v>
      </c>
      <c r="G5" s="8">
        <f>COUNTIF(P:P,"対象外")</f>
        <v>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5" ht="13.2" x14ac:dyDescent="0.25">
      <c r="A6" s="7"/>
      <c r="B6" s="4"/>
      <c r="C6" s="4"/>
      <c r="D6" s="4"/>
      <c r="E6" s="4"/>
      <c r="F6" s="7"/>
      <c r="G6" s="4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5" ht="13.2" x14ac:dyDescent="0.25">
      <c r="A7" s="7"/>
      <c r="B7" s="4"/>
      <c r="C7" s="4"/>
      <c r="D7" s="4"/>
      <c r="E7" s="4"/>
      <c r="F7" s="7"/>
      <c r="G7" s="4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5" ht="13.2" x14ac:dyDescent="0.25">
      <c r="A8" s="10" t="s">
        <v>9</v>
      </c>
      <c r="B8" s="11"/>
      <c r="C8" s="11"/>
      <c r="D8" s="11"/>
      <c r="E8" s="11"/>
      <c r="F8" s="12"/>
      <c r="G8" s="11"/>
      <c r="H8" s="12"/>
      <c r="I8" s="12"/>
      <c r="J8" s="12"/>
      <c r="K8" s="12"/>
      <c r="L8" s="12"/>
      <c r="M8" s="13"/>
      <c r="N8" s="14" t="s">
        <v>10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6"/>
    </row>
    <row r="9" spans="1:25" ht="26.4" x14ac:dyDescent="0.25">
      <c r="A9" s="17" t="s">
        <v>11</v>
      </c>
      <c r="B9" s="18" t="s">
        <v>12</v>
      </c>
      <c r="C9" s="18" t="s">
        <v>13</v>
      </c>
      <c r="D9" s="18" t="s">
        <v>14</v>
      </c>
      <c r="E9" s="18" t="s">
        <v>15</v>
      </c>
      <c r="F9" s="17" t="s">
        <v>46</v>
      </c>
      <c r="G9" s="18" t="s">
        <v>16</v>
      </c>
      <c r="H9" s="17" t="s">
        <v>17</v>
      </c>
      <c r="I9" s="17" t="s">
        <v>18</v>
      </c>
      <c r="J9" s="17" t="s">
        <v>19</v>
      </c>
      <c r="K9" s="17" t="s">
        <v>20</v>
      </c>
      <c r="L9" s="17" t="s">
        <v>21</v>
      </c>
      <c r="M9" s="17" t="s">
        <v>22</v>
      </c>
      <c r="N9" s="19" t="s">
        <v>23</v>
      </c>
      <c r="O9" s="19" t="s">
        <v>24</v>
      </c>
      <c r="P9" s="19" t="s">
        <v>25</v>
      </c>
      <c r="Q9" s="19" t="s">
        <v>26</v>
      </c>
      <c r="R9" s="19" t="s">
        <v>27</v>
      </c>
      <c r="S9" s="19" t="s">
        <v>28</v>
      </c>
      <c r="T9" s="19" t="s">
        <v>29</v>
      </c>
      <c r="U9" s="19" t="s">
        <v>30</v>
      </c>
      <c r="V9" s="19" t="s">
        <v>31</v>
      </c>
      <c r="W9" s="19" t="s">
        <v>32</v>
      </c>
      <c r="X9" s="19" t="s">
        <v>33</v>
      </c>
      <c r="Y9" s="19" t="s">
        <v>34</v>
      </c>
    </row>
    <row r="10" spans="1:25" ht="130.05000000000001" customHeight="1" x14ac:dyDescent="0.25">
      <c r="A10" s="9">
        <f t="shared" ref="A10:A52" si="0">ROW()-9</f>
        <v>1</v>
      </c>
      <c r="B10" s="33" t="s">
        <v>66</v>
      </c>
      <c r="C10" s="33" t="s">
        <v>63</v>
      </c>
      <c r="D10" s="33" t="s">
        <v>109</v>
      </c>
      <c r="E10" s="33" t="s">
        <v>67</v>
      </c>
      <c r="F10" s="34" t="s">
        <v>35</v>
      </c>
      <c r="G10" s="33" t="s">
        <v>118</v>
      </c>
      <c r="H10" s="33" t="s">
        <v>78</v>
      </c>
      <c r="I10" s="30" t="s">
        <v>47</v>
      </c>
      <c r="J10" s="33" t="s">
        <v>79</v>
      </c>
      <c r="K10" s="36" t="s">
        <v>69</v>
      </c>
      <c r="L10" s="34" t="s">
        <v>36</v>
      </c>
      <c r="M10" s="35" t="s">
        <v>110</v>
      </c>
      <c r="N10" s="20">
        <v>46118</v>
      </c>
      <c r="O10" s="21" t="s">
        <v>137</v>
      </c>
      <c r="P10" s="21" t="s">
        <v>5</v>
      </c>
      <c r="Q10" s="21"/>
      <c r="R10" s="21"/>
      <c r="S10" s="21"/>
      <c r="T10" s="9"/>
      <c r="U10" s="21"/>
      <c r="V10" s="21" t="s">
        <v>142</v>
      </c>
      <c r="W10" s="9"/>
      <c r="X10" s="9"/>
      <c r="Y10" s="9"/>
    </row>
    <row r="11" spans="1:25" ht="130.05000000000001" customHeight="1" x14ac:dyDescent="0.25">
      <c r="A11" s="9">
        <f t="shared" si="0"/>
        <v>2</v>
      </c>
      <c r="B11" s="47"/>
      <c r="C11" s="47"/>
      <c r="D11" s="47"/>
      <c r="E11" s="47"/>
      <c r="F11" s="48"/>
      <c r="G11" s="59"/>
      <c r="H11" s="60" t="s">
        <v>119</v>
      </c>
      <c r="I11" s="52" t="s">
        <v>48</v>
      </c>
      <c r="J11" s="47"/>
      <c r="K11" s="57"/>
      <c r="L11" s="48"/>
      <c r="M11" s="35" t="s">
        <v>110</v>
      </c>
      <c r="N11" s="20">
        <v>46118</v>
      </c>
      <c r="O11" s="21" t="s">
        <v>137</v>
      </c>
      <c r="P11" s="21" t="s">
        <v>5</v>
      </c>
      <c r="Q11" s="21"/>
      <c r="R11" s="21"/>
      <c r="S11" s="21"/>
      <c r="T11" s="9"/>
      <c r="U11" s="21"/>
      <c r="V11" s="21" t="s">
        <v>142</v>
      </c>
      <c r="W11" s="9"/>
      <c r="X11" s="9"/>
      <c r="Y11" s="9"/>
    </row>
    <row r="12" spans="1:25" ht="130.05000000000001" customHeight="1" x14ac:dyDescent="0.25">
      <c r="A12" s="9">
        <f t="shared" si="0"/>
        <v>3</v>
      </c>
      <c r="B12" s="47"/>
      <c r="C12" s="47"/>
      <c r="D12" s="47"/>
      <c r="E12" s="47"/>
      <c r="F12" s="48"/>
      <c r="G12" s="59"/>
      <c r="H12" s="41" t="s">
        <v>120</v>
      </c>
      <c r="I12" s="65"/>
      <c r="J12" s="47"/>
      <c r="K12" s="57"/>
      <c r="L12" s="48"/>
      <c r="M12" s="35" t="s">
        <v>110</v>
      </c>
      <c r="N12" s="20">
        <v>46118</v>
      </c>
      <c r="O12" s="21" t="s">
        <v>137</v>
      </c>
      <c r="P12" s="21" t="s">
        <v>5</v>
      </c>
      <c r="Q12" s="21"/>
      <c r="R12" s="21"/>
      <c r="S12" s="21"/>
      <c r="T12" s="9"/>
      <c r="U12" s="21"/>
      <c r="V12" s="21" t="s">
        <v>142</v>
      </c>
      <c r="W12" s="9"/>
      <c r="X12" s="9"/>
      <c r="Y12" s="9"/>
    </row>
    <row r="13" spans="1:25" ht="130.05000000000001" customHeight="1" x14ac:dyDescent="0.25">
      <c r="A13" s="9">
        <f t="shared" si="0"/>
        <v>4</v>
      </c>
      <c r="B13" s="47"/>
      <c r="C13" s="47"/>
      <c r="D13" s="47"/>
      <c r="E13" s="47"/>
      <c r="F13" s="48"/>
      <c r="G13" s="59"/>
      <c r="H13" s="41" t="s">
        <v>121</v>
      </c>
      <c r="I13" s="65"/>
      <c r="J13" s="47"/>
      <c r="K13" s="63"/>
      <c r="L13" s="64"/>
      <c r="M13" s="35" t="s">
        <v>110</v>
      </c>
      <c r="N13" s="20">
        <v>46118</v>
      </c>
      <c r="O13" s="21" t="s">
        <v>137</v>
      </c>
      <c r="P13" s="21" t="s">
        <v>5</v>
      </c>
      <c r="Q13" s="21"/>
      <c r="R13" s="21"/>
      <c r="S13" s="21"/>
      <c r="T13" s="9"/>
      <c r="U13" s="21"/>
      <c r="V13" s="21" t="s">
        <v>142</v>
      </c>
      <c r="W13" s="9"/>
      <c r="X13" s="9"/>
      <c r="Y13" s="9"/>
    </row>
    <row r="14" spans="1:25" ht="130.05000000000001" customHeight="1" x14ac:dyDescent="0.25">
      <c r="A14" s="9">
        <f t="shared" si="0"/>
        <v>5</v>
      </c>
      <c r="B14" s="47"/>
      <c r="C14" s="47"/>
      <c r="D14" s="47"/>
      <c r="E14" s="47"/>
      <c r="F14" s="48"/>
      <c r="G14" s="47"/>
      <c r="H14" s="49" t="s">
        <v>73</v>
      </c>
      <c r="I14" s="49"/>
      <c r="J14" s="47"/>
      <c r="K14" s="57"/>
      <c r="L14" s="48"/>
      <c r="M14" s="35" t="s">
        <v>110</v>
      </c>
      <c r="N14" s="20">
        <v>46118</v>
      </c>
      <c r="O14" s="21" t="s">
        <v>137</v>
      </c>
      <c r="P14" s="21" t="s">
        <v>5</v>
      </c>
      <c r="Q14" s="21"/>
      <c r="R14" s="21"/>
      <c r="S14" s="21"/>
      <c r="T14" s="9"/>
      <c r="U14" s="21"/>
      <c r="V14" s="21" t="s">
        <v>142</v>
      </c>
      <c r="W14" s="9"/>
      <c r="X14" s="9"/>
      <c r="Y14" s="9"/>
    </row>
    <row r="15" spans="1:25" ht="130.05000000000001" customHeight="1" x14ac:dyDescent="0.25">
      <c r="A15" s="9">
        <f t="shared" si="0"/>
        <v>6</v>
      </c>
      <c r="B15" s="47"/>
      <c r="C15" s="47"/>
      <c r="D15" s="47"/>
      <c r="E15" s="47"/>
      <c r="F15" s="48"/>
      <c r="G15" s="47"/>
      <c r="H15" s="30" t="s">
        <v>138</v>
      </c>
      <c r="I15" s="36" t="s">
        <v>74</v>
      </c>
      <c r="J15" s="47"/>
      <c r="K15" s="57"/>
      <c r="L15" s="48"/>
      <c r="M15" s="35" t="s">
        <v>110</v>
      </c>
      <c r="N15" s="20">
        <v>46118</v>
      </c>
      <c r="O15" s="21" t="s">
        <v>137</v>
      </c>
      <c r="P15" s="21" t="s">
        <v>5</v>
      </c>
      <c r="Q15" s="21"/>
      <c r="R15" s="21"/>
      <c r="S15" s="21"/>
      <c r="T15" s="9"/>
      <c r="U15" s="21"/>
      <c r="V15" s="21" t="s">
        <v>142</v>
      </c>
      <c r="W15" s="9"/>
      <c r="X15" s="9"/>
      <c r="Y15" s="9"/>
    </row>
    <row r="16" spans="1:25" ht="130.05000000000001" customHeight="1" x14ac:dyDescent="0.25">
      <c r="A16" s="9">
        <f t="shared" si="0"/>
        <v>7</v>
      </c>
      <c r="B16" s="47"/>
      <c r="C16" s="47"/>
      <c r="D16" s="47"/>
      <c r="E16" s="47"/>
      <c r="F16" s="48"/>
      <c r="G16" s="47"/>
      <c r="H16" s="30" t="s">
        <v>75</v>
      </c>
      <c r="I16" s="57"/>
      <c r="J16" s="47"/>
      <c r="K16" s="57"/>
      <c r="L16" s="48"/>
      <c r="M16" s="35" t="s">
        <v>110</v>
      </c>
      <c r="N16" s="20">
        <v>46118</v>
      </c>
      <c r="O16" s="21" t="s">
        <v>137</v>
      </c>
      <c r="P16" s="21" t="s">
        <v>5</v>
      </c>
      <c r="Q16" s="21"/>
      <c r="R16" s="21"/>
      <c r="S16" s="21"/>
      <c r="T16" s="9"/>
      <c r="U16" s="21"/>
      <c r="V16" s="21" t="s">
        <v>142</v>
      </c>
      <c r="W16" s="9"/>
      <c r="X16" s="9"/>
      <c r="Y16" s="9"/>
    </row>
    <row r="17" spans="1:25" ht="130.05000000000001" customHeight="1" x14ac:dyDescent="0.25">
      <c r="A17" s="9">
        <f t="shared" si="0"/>
        <v>8</v>
      </c>
      <c r="B17" s="47"/>
      <c r="C17" s="47"/>
      <c r="D17" s="47"/>
      <c r="E17" s="47"/>
      <c r="F17" s="48"/>
      <c r="G17" s="47"/>
      <c r="H17" s="30" t="s">
        <v>76</v>
      </c>
      <c r="I17" s="57"/>
      <c r="J17" s="47"/>
      <c r="K17" s="57"/>
      <c r="L17" s="48"/>
      <c r="M17" s="35" t="s">
        <v>110</v>
      </c>
      <c r="N17" s="20">
        <v>46118</v>
      </c>
      <c r="O17" s="21" t="s">
        <v>137</v>
      </c>
      <c r="P17" s="21" t="s">
        <v>5</v>
      </c>
      <c r="Q17" s="21"/>
      <c r="R17" s="21"/>
      <c r="S17" s="21"/>
      <c r="T17" s="9"/>
      <c r="U17" s="21"/>
      <c r="V17" s="21" t="s">
        <v>142</v>
      </c>
      <c r="W17" s="9"/>
      <c r="X17" s="9"/>
      <c r="Y17" s="9"/>
    </row>
    <row r="18" spans="1:25" ht="130.05000000000001" customHeight="1" x14ac:dyDescent="0.25">
      <c r="A18" s="9">
        <f t="shared" si="0"/>
        <v>9</v>
      </c>
      <c r="B18" s="49"/>
      <c r="C18" s="49"/>
      <c r="D18" s="49"/>
      <c r="E18" s="49"/>
      <c r="F18" s="50"/>
      <c r="G18" s="49"/>
      <c r="H18" s="30" t="s">
        <v>77</v>
      </c>
      <c r="I18" s="58"/>
      <c r="J18" s="49"/>
      <c r="K18" s="58"/>
      <c r="L18" s="50"/>
      <c r="M18" s="35" t="s">
        <v>110</v>
      </c>
      <c r="N18" s="20">
        <v>46118</v>
      </c>
      <c r="O18" s="21" t="s">
        <v>137</v>
      </c>
      <c r="P18" s="21" t="s">
        <v>5</v>
      </c>
      <c r="Q18" s="21"/>
      <c r="R18" s="21"/>
      <c r="S18" s="21"/>
      <c r="T18" s="9"/>
      <c r="U18" s="21"/>
      <c r="V18" s="21" t="s">
        <v>142</v>
      </c>
      <c r="W18" s="9"/>
      <c r="X18" s="9"/>
      <c r="Y18" s="9"/>
    </row>
    <row r="19" spans="1:25" ht="130.05000000000001" customHeight="1" x14ac:dyDescent="0.25">
      <c r="A19" s="9">
        <f t="shared" si="0"/>
        <v>10</v>
      </c>
      <c r="B19" s="30" t="s">
        <v>66</v>
      </c>
      <c r="C19" s="30" t="s">
        <v>63</v>
      </c>
      <c r="D19" s="33" t="s">
        <v>112</v>
      </c>
      <c r="E19" s="34" t="s">
        <v>38</v>
      </c>
      <c r="F19" s="34" t="s">
        <v>35</v>
      </c>
      <c r="G19" s="33" t="s">
        <v>118</v>
      </c>
      <c r="H19" s="30" t="s">
        <v>68</v>
      </c>
      <c r="I19" s="33" t="s">
        <v>48</v>
      </c>
      <c r="J19" s="33" t="s">
        <v>70</v>
      </c>
      <c r="K19" s="36" t="s">
        <v>80</v>
      </c>
      <c r="L19" s="36" t="s">
        <v>49</v>
      </c>
      <c r="M19" s="33" t="s">
        <v>111</v>
      </c>
      <c r="N19" s="20">
        <v>46118</v>
      </c>
      <c r="O19" s="21" t="s">
        <v>137</v>
      </c>
      <c r="P19" s="21" t="s">
        <v>5</v>
      </c>
      <c r="Q19" s="21"/>
      <c r="R19" s="21"/>
      <c r="S19" s="21"/>
      <c r="T19" s="9"/>
      <c r="U19" s="21"/>
      <c r="V19" s="21" t="s">
        <v>143</v>
      </c>
      <c r="W19" s="9"/>
      <c r="X19" s="9"/>
      <c r="Y19" s="9"/>
    </row>
    <row r="20" spans="1:25" ht="130.05000000000001" customHeight="1" x14ac:dyDescent="0.25">
      <c r="A20" s="9">
        <f t="shared" si="0"/>
        <v>11</v>
      </c>
      <c r="B20" s="30" t="s">
        <v>66</v>
      </c>
      <c r="C20" s="30" t="s">
        <v>63</v>
      </c>
      <c r="D20" s="47"/>
      <c r="E20" s="48"/>
      <c r="F20" s="48"/>
      <c r="G20" s="47"/>
      <c r="H20" s="30" t="s">
        <v>71</v>
      </c>
      <c r="I20" s="47"/>
      <c r="J20" s="66"/>
      <c r="K20" s="57"/>
      <c r="L20" s="57"/>
      <c r="M20" s="33" t="s">
        <v>111</v>
      </c>
      <c r="N20" s="20">
        <v>46118</v>
      </c>
      <c r="O20" s="21" t="s">
        <v>137</v>
      </c>
      <c r="P20" s="21" t="s">
        <v>5</v>
      </c>
      <c r="Q20" s="21"/>
      <c r="R20" s="21"/>
      <c r="S20" s="21"/>
      <c r="T20" s="9"/>
      <c r="U20" s="21"/>
      <c r="V20" s="21" t="s">
        <v>143</v>
      </c>
      <c r="W20" s="9"/>
      <c r="X20" s="9"/>
      <c r="Y20" s="9"/>
    </row>
    <row r="21" spans="1:25" ht="130.05000000000001" customHeight="1" x14ac:dyDescent="0.25">
      <c r="A21" s="9">
        <f t="shared" si="0"/>
        <v>12</v>
      </c>
      <c r="B21" s="30" t="s">
        <v>66</v>
      </c>
      <c r="C21" s="30" t="s">
        <v>63</v>
      </c>
      <c r="D21" s="47"/>
      <c r="E21" s="48"/>
      <c r="F21" s="48"/>
      <c r="G21" s="47"/>
      <c r="H21" s="30" t="s">
        <v>72</v>
      </c>
      <c r="I21" s="47"/>
      <c r="J21" s="47"/>
      <c r="K21" s="57"/>
      <c r="L21" s="57"/>
      <c r="M21" s="33" t="s">
        <v>111</v>
      </c>
      <c r="N21" s="20">
        <v>46118</v>
      </c>
      <c r="O21" s="21" t="s">
        <v>137</v>
      </c>
      <c r="P21" s="21" t="s">
        <v>5</v>
      </c>
      <c r="Q21" s="21"/>
      <c r="R21" s="21"/>
      <c r="S21" s="21"/>
      <c r="T21" s="9"/>
      <c r="U21" s="21"/>
      <c r="V21" s="21" t="s">
        <v>143</v>
      </c>
      <c r="W21" s="9"/>
      <c r="X21" s="9"/>
      <c r="Y21" s="9"/>
    </row>
    <row r="22" spans="1:25" ht="130.05000000000001" customHeight="1" x14ac:dyDescent="0.25">
      <c r="A22" s="9">
        <f t="shared" si="0"/>
        <v>13</v>
      </c>
      <c r="B22" s="30" t="s">
        <v>66</v>
      </c>
      <c r="C22" s="30" t="s">
        <v>63</v>
      </c>
      <c r="D22" s="49"/>
      <c r="E22" s="50"/>
      <c r="F22" s="50"/>
      <c r="G22" s="49"/>
      <c r="H22" s="30" t="s">
        <v>73</v>
      </c>
      <c r="I22" s="49"/>
      <c r="J22" s="49"/>
      <c r="K22" s="58"/>
      <c r="L22" s="67"/>
      <c r="M22" s="33" t="s">
        <v>111</v>
      </c>
      <c r="N22" s="20">
        <v>46118</v>
      </c>
      <c r="O22" s="21" t="s">
        <v>137</v>
      </c>
      <c r="P22" s="21" t="s">
        <v>5</v>
      </c>
      <c r="Q22" s="21"/>
      <c r="R22" s="21"/>
      <c r="S22" s="21"/>
      <c r="T22" s="9"/>
      <c r="U22" s="21"/>
      <c r="V22" s="21" t="s">
        <v>143</v>
      </c>
      <c r="W22" s="9"/>
      <c r="X22" s="9"/>
      <c r="Y22" s="9"/>
    </row>
    <row r="23" spans="1:25" ht="130.05000000000001" customHeight="1" x14ac:dyDescent="0.25">
      <c r="A23" s="9">
        <f t="shared" si="0"/>
        <v>14</v>
      </c>
      <c r="B23" s="33" t="s">
        <v>81</v>
      </c>
      <c r="C23" s="33" t="s">
        <v>63</v>
      </c>
      <c r="D23" s="46" t="s">
        <v>113</v>
      </c>
      <c r="E23" s="35" t="s">
        <v>82</v>
      </c>
      <c r="F23" s="34" t="s">
        <v>35</v>
      </c>
      <c r="G23" s="33" t="s">
        <v>118</v>
      </c>
      <c r="H23" s="33" t="s">
        <v>78</v>
      </c>
      <c r="I23" s="34" t="s">
        <v>37</v>
      </c>
      <c r="J23" s="33" t="s">
        <v>70</v>
      </c>
      <c r="K23" s="36" t="s">
        <v>83</v>
      </c>
      <c r="L23" s="8" t="s">
        <v>50</v>
      </c>
      <c r="M23" s="33" t="s">
        <v>88</v>
      </c>
      <c r="N23" s="20">
        <v>46118</v>
      </c>
      <c r="O23" s="21" t="s">
        <v>137</v>
      </c>
      <c r="P23" s="21" t="s">
        <v>5</v>
      </c>
      <c r="Q23" s="21"/>
      <c r="R23" s="21"/>
      <c r="S23" s="21"/>
      <c r="T23" s="9"/>
      <c r="U23" s="21"/>
      <c r="V23" s="21" t="s">
        <v>144</v>
      </c>
      <c r="W23" s="9"/>
      <c r="X23" s="9"/>
      <c r="Y23" s="9"/>
    </row>
    <row r="24" spans="1:25" ht="130.05000000000001" customHeight="1" x14ac:dyDescent="0.25">
      <c r="A24" s="9">
        <f t="shared" si="0"/>
        <v>15</v>
      </c>
      <c r="B24" s="47"/>
      <c r="C24" s="47"/>
      <c r="D24" s="51"/>
      <c r="E24" s="61"/>
      <c r="F24" s="48"/>
      <c r="G24" s="47"/>
      <c r="H24" s="47"/>
      <c r="I24" s="48"/>
      <c r="J24" s="47"/>
      <c r="K24" s="57"/>
      <c r="L24" s="8" t="s">
        <v>51</v>
      </c>
      <c r="M24" s="33" t="s">
        <v>88</v>
      </c>
      <c r="N24" s="20">
        <v>46118</v>
      </c>
      <c r="O24" s="21" t="s">
        <v>137</v>
      </c>
      <c r="P24" s="21" t="s">
        <v>5</v>
      </c>
      <c r="Q24" s="21"/>
      <c r="R24" s="21"/>
      <c r="S24" s="21"/>
      <c r="T24" s="9"/>
      <c r="U24" s="21"/>
      <c r="V24" s="21" t="s">
        <v>145</v>
      </c>
      <c r="W24" s="9"/>
      <c r="X24" s="9"/>
      <c r="Y24" s="9"/>
    </row>
    <row r="25" spans="1:25" ht="130.05000000000001" customHeight="1" x14ac:dyDescent="0.25">
      <c r="A25" s="9">
        <f t="shared" si="0"/>
        <v>16</v>
      </c>
      <c r="B25" s="47"/>
      <c r="C25" s="47"/>
      <c r="D25" s="51"/>
      <c r="E25" s="61"/>
      <c r="F25" s="48"/>
      <c r="G25" s="47"/>
      <c r="H25" s="47"/>
      <c r="I25" s="48"/>
      <c r="J25" s="47"/>
      <c r="K25" s="57"/>
      <c r="L25" s="8" t="s">
        <v>52</v>
      </c>
      <c r="M25" s="33" t="s">
        <v>88</v>
      </c>
      <c r="N25" s="20">
        <v>46118</v>
      </c>
      <c r="O25" s="21" t="s">
        <v>137</v>
      </c>
      <c r="P25" s="21" t="s">
        <v>5</v>
      </c>
      <c r="Q25" s="21"/>
      <c r="R25" s="21"/>
      <c r="S25" s="21"/>
      <c r="T25" s="9"/>
      <c r="U25" s="21"/>
      <c r="V25" s="21" t="s">
        <v>146</v>
      </c>
      <c r="W25" s="9"/>
      <c r="X25" s="9"/>
      <c r="Y25" s="9"/>
    </row>
    <row r="26" spans="1:25" ht="130.05000000000001" customHeight="1" x14ac:dyDescent="0.25">
      <c r="A26" s="9">
        <f t="shared" si="0"/>
        <v>17</v>
      </c>
      <c r="B26" s="47"/>
      <c r="C26" s="47"/>
      <c r="D26" s="51"/>
      <c r="E26" s="61"/>
      <c r="F26" s="48"/>
      <c r="G26" s="47"/>
      <c r="H26" s="47"/>
      <c r="I26" s="48"/>
      <c r="J26" s="47"/>
      <c r="K26" s="57"/>
      <c r="L26" s="8" t="s">
        <v>53</v>
      </c>
      <c r="M26" s="33" t="s">
        <v>88</v>
      </c>
      <c r="N26" s="20">
        <v>46118</v>
      </c>
      <c r="O26" s="21" t="s">
        <v>137</v>
      </c>
      <c r="P26" s="21" t="s">
        <v>5</v>
      </c>
      <c r="Q26" s="21"/>
      <c r="R26" s="21"/>
      <c r="S26" s="21"/>
      <c r="T26" s="9"/>
      <c r="U26" s="21"/>
      <c r="V26" s="21" t="s">
        <v>147</v>
      </c>
      <c r="W26" s="9"/>
      <c r="X26" s="9"/>
      <c r="Y26" s="9"/>
    </row>
    <row r="27" spans="1:25" ht="130.05000000000001" customHeight="1" x14ac:dyDescent="0.25">
      <c r="A27" s="9">
        <f t="shared" si="0"/>
        <v>18</v>
      </c>
      <c r="B27" s="47"/>
      <c r="C27" s="47"/>
      <c r="D27" s="51"/>
      <c r="E27" s="61"/>
      <c r="F27" s="48"/>
      <c r="G27" s="47"/>
      <c r="H27" s="47"/>
      <c r="I27" s="48"/>
      <c r="J27" s="47"/>
      <c r="K27" s="57"/>
      <c r="L27" s="8" t="s">
        <v>54</v>
      </c>
      <c r="M27" s="33" t="s">
        <v>88</v>
      </c>
      <c r="N27" s="20">
        <v>46118</v>
      </c>
      <c r="O27" s="21" t="s">
        <v>137</v>
      </c>
      <c r="P27" s="21" t="s">
        <v>5</v>
      </c>
      <c r="Q27" s="21"/>
      <c r="R27" s="21"/>
      <c r="S27" s="21"/>
      <c r="T27" s="9"/>
      <c r="U27" s="21"/>
      <c r="V27" s="21" t="s">
        <v>148</v>
      </c>
      <c r="W27" s="9"/>
      <c r="X27" s="9"/>
      <c r="Y27" s="9"/>
    </row>
    <row r="28" spans="1:25" ht="130.05000000000001" customHeight="1" x14ac:dyDescent="0.25">
      <c r="A28" s="9">
        <f t="shared" si="0"/>
        <v>19</v>
      </c>
      <c r="B28" s="47"/>
      <c r="C28" s="47"/>
      <c r="D28" s="51"/>
      <c r="E28" s="61"/>
      <c r="F28" s="48"/>
      <c r="G28" s="47"/>
      <c r="H28" s="47"/>
      <c r="I28" s="48"/>
      <c r="J28" s="47"/>
      <c r="K28" s="57"/>
      <c r="L28" s="8" t="s">
        <v>55</v>
      </c>
      <c r="M28" s="33" t="s">
        <v>88</v>
      </c>
      <c r="N28" s="20">
        <v>46118</v>
      </c>
      <c r="O28" s="21" t="s">
        <v>137</v>
      </c>
      <c r="P28" s="21" t="s">
        <v>5</v>
      </c>
      <c r="Q28" s="21"/>
      <c r="R28" s="21"/>
      <c r="S28" s="21"/>
      <c r="T28" s="9"/>
      <c r="U28" s="21"/>
      <c r="V28" s="21" t="s">
        <v>149</v>
      </c>
      <c r="W28" s="9"/>
      <c r="X28" s="9"/>
      <c r="Y28" s="9"/>
    </row>
    <row r="29" spans="1:25" ht="130.05000000000001" customHeight="1" x14ac:dyDescent="0.25">
      <c r="A29" s="9">
        <f t="shared" si="0"/>
        <v>20</v>
      </c>
      <c r="B29" s="47"/>
      <c r="C29" s="47"/>
      <c r="D29" s="51"/>
      <c r="E29" s="61"/>
      <c r="F29" s="48"/>
      <c r="G29" s="47"/>
      <c r="H29" s="47"/>
      <c r="I29" s="48"/>
      <c r="J29" s="47"/>
      <c r="K29" s="57"/>
      <c r="L29" s="8" t="s">
        <v>56</v>
      </c>
      <c r="M29" s="33" t="s">
        <v>88</v>
      </c>
      <c r="N29" s="20">
        <v>46118</v>
      </c>
      <c r="O29" s="21" t="s">
        <v>137</v>
      </c>
      <c r="P29" s="21" t="s">
        <v>5</v>
      </c>
      <c r="Q29" s="21"/>
      <c r="R29" s="21"/>
      <c r="S29" s="21"/>
      <c r="T29" s="9"/>
      <c r="U29" s="21"/>
      <c r="V29" s="21" t="s">
        <v>150</v>
      </c>
      <c r="W29" s="9"/>
      <c r="X29" s="9"/>
      <c r="Y29" s="9"/>
    </row>
    <row r="30" spans="1:25" ht="130.05000000000001" customHeight="1" x14ac:dyDescent="0.25">
      <c r="A30" s="9">
        <f t="shared" si="0"/>
        <v>21</v>
      </c>
      <c r="B30" s="47"/>
      <c r="C30" s="47"/>
      <c r="D30" s="51"/>
      <c r="E30" s="61"/>
      <c r="F30" s="48"/>
      <c r="G30" s="47"/>
      <c r="H30" s="47"/>
      <c r="I30" s="48"/>
      <c r="J30" s="47"/>
      <c r="K30" s="57"/>
      <c r="L30" s="8" t="s">
        <v>57</v>
      </c>
      <c r="M30" s="33" t="s">
        <v>88</v>
      </c>
      <c r="N30" s="20">
        <v>46118</v>
      </c>
      <c r="O30" s="21" t="s">
        <v>137</v>
      </c>
      <c r="P30" s="21" t="s">
        <v>5</v>
      </c>
      <c r="Q30" s="21"/>
      <c r="R30" s="21"/>
      <c r="S30" s="21"/>
      <c r="T30" s="9"/>
      <c r="U30" s="21"/>
      <c r="V30" s="21" t="s">
        <v>151</v>
      </c>
      <c r="W30" s="9"/>
      <c r="X30" s="9"/>
      <c r="Y30" s="9"/>
    </row>
    <row r="31" spans="1:25" ht="130.05000000000001" customHeight="1" x14ac:dyDescent="0.25">
      <c r="A31" s="9">
        <f t="shared" si="0"/>
        <v>22</v>
      </c>
      <c r="B31" s="47"/>
      <c r="C31" s="47"/>
      <c r="D31" s="51"/>
      <c r="E31" s="61"/>
      <c r="F31" s="48"/>
      <c r="G31" s="47"/>
      <c r="H31" s="47"/>
      <c r="I31" s="48"/>
      <c r="J31" s="47"/>
      <c r="K31" s="57"/>
      <c r="L31" s="8" t="s">
        <v>58</v>
      </c>
      <c r="M31" s="33" t="s">
        <v>88</v>
      </c>
      <c r="N31" s="20">
        <v>46118</v>
      </c>
      <c r="O31" s="21" t="s">
        <v>137</v>
      </c>
      <c r="P31" s="21" t="s">
        <v>5</v>
      </c>
      <c r="Q31" s="21"/>
      <c r="R31" s="21"/>
      <c r="S31" s="21"/>
      <c r="T31" s="9"/>
      <c r="U31" s="21"/>
      <c r="V31" s="21" t="s">
        <v>152</v>
      </c>
      <c r="W31" s="9"/>
      <c r="X31" s="9"/>
      <c r="Y31" s="9"/>
    </row>
    <row r="32" spans="1:25" ht="130.05000000000001" customHeight="1" x14ac:dyDescent="0.25">
      <c r="A32" s="9">
        <f t="shared" si="0"/>
        <v>23</v>
      </c>
      <c r="B32" s="47"/>
      <c r="C32" s="47"/>
      <c r="D32" s="51"/>
      <c r="E32" s="61"/>
      <c r="F32" s="48"/>
      <c r="G32" s="47"/>
      <c r="H32" s="47"/>
      <c r="I32" s="48"/>
      <c r="J32" s="47"/>
      <c r="K32" s="57"/>
      <c r="L32" s="8" t="s">
        <v>59</v>
      </c>
      <c r="M32" s="33" t="s">
        <v>88</v>
      </c>
      <c r="N32" s="20">
        <v>46118</v>
      </c>
      <c r="O32" s="21" t="s">
        <v>137</v>
      </c>
      <c r="P32" s="21" t="s">
        <v>5</v>
      </c>
      <c r="Q32" s="21"/>
      <c r="R32" s="21"/>
      <c r="S32" s="21"/>
      <c r="T32" s="9"/>
      <c r="U32" s="21"/>
      <c r="V32" s="21" t="s">
        <v>153</v>
      </c>
      <c r="W32" s="9"/>
      <c r="X32" s="9"/>
      <c r="Y32" s="9"/>
    </row>
    <row r="33" spans="1:25" ht="130.05000000000001" customHeight="1" x14ac:dyDescent="0.25">
      <c r="A33" s="9">
        <f t="shared" si="0"/>
        <v>24</v>
      </c>
      <c r="B33" s="47"/>
      <c r="C33" s="47"/>
      <c r="D33" s="51"/>
      <c r="E33" s="61"/>
      <c r="F33" s="48"/>
      <c r="G33" s="47"/>
      <c r="H33" s="47"/>
      <c r="I33" s="48"/>
      <c r="J33" s="47"/>
      <c r="K33" s="57"/>
      <c r="L33" s="8" t="s">
        <v>60</v>
      </c>
      <c r="M33" s="33" t="s">
        <v>88</v>
      </c>
      <c r="N33" s="20">
        <v>46118</v>
      </c>
      <c r="O33" s="21" t="s">
        <v>137</v>
      </c>
      <c r="P33" s="21" t="s">
        <v>5</v>
      </c>
      <c r="Q33" s="21"/>
      <c r="R33" s="21"/>
      <c r="S33" s="21"/>
      <c r="T33" s="9"/>
      <c r="U33" s="21"/>
      <c r="V33" s="21" t="s">
        <v>154</v>
      </c>
      <c r="W33" s="9"/>
      <c r="X33" s="9"/>
      <c r="Y33" s="9"/>
    </row>
    <row r="34" spans="1:25" ht="130.05000000000001" customHeight="1" x14ac:dyDescent="0.25">
      <c r="A34" s="9">
        <f t="shared" si="0"/>
        <v>25</v>
      </c>
      <c r="B34" s="47"/>
      <c r="C34" s="47"/>
      <c r="D34" s="51"/>
      <c r="E34" s="61"/>
      <c r="F34" s="48"/>
      <c r="G34" s="47"/>
      <c r="H34" s="47"/>
      <c r="I34" s="48"/>
      <c r="J34" s="47"/>
      <c r="K34" s="57"/>
      <c r="L34" s="8" t="s">
        <v>61</v>
      </c>
      <c r="M34" s="33" t="s">
        <v>88</v>
      </c>
      <c r="N34" s="20">
        <v>46118</v>
      </c>
      <c r="O34" s="21" t="s">
        <v>137</v>
      </c>
      <c r="P34" s="21" t="s">
        <v>5</v>
      </c>
      <c r="Q34" s="21"/>
      <c r="R34" s="21"/>
      <c r="S34" s="21"/>
      <c r="T34" s="9"/>
      <c r="U34" s="21"/>
      <c r="V34" s="21" t="s">
        <v>155</v>
      </c>
      <c r="W34" s="9"/>
      <c r="X34" s="9"/>
      <c r="Y34" s="9"/>
    </row>
    <row r="35" spans="1:25" ht="130.05000000000001" customHeight="1" x14ac:dyDescent="0.25">
      <c r="A35" s="9">
        <f t="shared" si="0"/>
        <v>26</v>
      </c>
      <c r="B35" s="47"/>
      <c r="C35" s="47"/>
      <c r="D35" s="51"/>
      <c r="E35" s="61"/>
      <c r="F35" s="48"/>
      <c r="G35" s="47"/>
      <c r="H35" s="47"/>
      <c r="I35" s="48"/>
      <c r="J35" s="47"/>
      <c r="K35" s="57"/>
      <c r="L35" s="8" t="s">
        <v>62</v>
      </c>
      <c r="M35" s="33" t="s">
        <v>88</v>
      </c>
      <c r="N35" s="20">
        <v>46118</v>
      </c>
      <c r="O35" s="21" t="s">
        <v>137</v>
      </c>
      <c r="P35" s="21" t="s">
        <v>5</v>
      </c>
      <c r="Q35" s="21"/>
      <c r="R35" s="21"/>
      <c r="S35" s="21"/>
      <c r="T35" s="9"/>
      <c r="U35" s="21"/>
      <c r="V35" s="21" t="s">
        <v>156</v>
      </c>
      <c r="W35" s="9"/>
      <c r="X35" s="9"/>
      <c r="Y35" s="9"/>
    </row>
    <row r="36" spans="1:25" ht="130.05000000000001" customHeight="1" x14ac:dyDescent="0.25">
      <c r="A36" s="9">
        <f t="shared" si="0"/>
        <v>27</v>
      </c>
      <c r="B36" s="47"/>
      <c r="C36" s="47"/>
      <c r="D36" s="51"/>
      <c r="E36" s="61"/>
      <c r="F36" s="48"/>
      <c r="G36" s="47"/>
      <c r="H36" s="47"/>
      <c r="I36" s="48"/>
      <c r="J36" s="47"/>
      <c r="K36" s="57"/>
      <c r="L36" s="8" t="s">
        <v>139</v>
      </c>
      <c r="M36" s="33" t="s">
        <v>88</v>
      </c>
      <c r="N36" s="20">
        <v>46118</v>
      </c>
      <c r="O36" s="21" t="s">
        <v>137</v>
      </c>
      <c r="P36" s="21" t="s">
        <v>5</v>
      </c>
      <c r="Q36" s="21"/>
      <c r="R36" s="21"/>
      <c r="S36" s="21"/>
      <c r="T36" s="9"/>
      <c r="U36" s="21"/>
      <c r="V36" s="21" t="s">
        <v>157</v>
      </c>
      <c r="W36" s="9"/>
      <c r="X36" s="9"/>
      <c r="Y36" s="9"/>
    </row>
    <row r="37" spans="1:25" ht="130.05000000000001" customHeight="1" x14ac:dyDescent="0.25">
      <c r="A37" s="9">
        <f t="shared" si="0"/>
        <v>28</v>
      </c>
      <c r="B37" s="49"/>
      <c r="C37" s="49"/>
      <c r="D37" s="77"/>
      <c r="E37" s="62"/>
      <c r="F37" s="50"/>
      <c r="G37" s="49"/>
      <c r="H37" s="49"/>
      <c r="I37" s="50"/>
      <c r="J37" s="49"/>
      <c r="K37" s="58"/>
      <c r="L37" s="8" t="s">
        <v>84</v>
      </c>
      <c r="M37" s="33" t="s">
        <v>88</v>
      </c>
      <c r="N37" s="20">
        <v>46118</v>
      </c>
      <c r="O37" s="21" t="s">
        <v>137</v>
      </c>
      <c r="P37" s="21" t="s">
        <v>5</v>
      </c>
      <c r="Q37" s="21"/>
      <c r="R37" s="21"/>
      <c r="S37" s="21"/>
      <c r="T37" s="9"/>
      <c r="U37" s="21"/>
      <c r="V37" s="21" t="s">
        <v>158</v>
      </c>
      <c r="W37" s="9"/>
      <c r="X37" s="9"/>
      <c r="Y37" s="9"/>
    </row>
    <row r="38" spans="1:25" ht="130.05000000000001" customHeight="1" x14ac:dyDescent="0.35">
      <c r="A38" s="9">
        <f t="shared" si="0"/>
        <v>29</v>
      </c>
      <c r="B38" s="33" t="s">
        <v>81</v>
      </c>
      <c r="C38" s="33" t="s">
        <v>63</v>
      </c>
      <c r="D38" s="33" t="s">
        <v>114</v>
      </c>
      <c r="E38" s="36" t="s">
        <v>85</v>
      </c>
      <c r="F38" s="34" t="s">
        <v>35</v>
      </c>
      <c r="G38" s="33" t="s">
        <v>118</v>
      </c>
      <c r="H38" s="33" t="s">
        <v>78</v>
      </c>
      <c r="I38" s="34" t="s">
        <v>37</v>
      </c>
      <c r="J38" s="33" t="s">
        <v>70</v>
      </c>
      <c r="K38" s="36" t="s">
        <v>83</v>
      </c>
      <c r="L38" s="22" t="s">
        <v>180</v>
      </c>
      <c r="M38" s="30" t="s">
        <v>88</v>
      </c>
      <c r="N38" s="20">
        <v>46118</v>
      </c>
      <c r="O38" s="21" t="s">
        <v>137</v>
      </c>
      <c r="P38" s="21" t="s">
        <v>5</v>
      </c>
      <c r="Q38" s="21"/>
      <c r="R38" s="21"/>
      <c r="S38" s="21"/>
      <c r="T38" s="9"/>
      <c r="U38" s="21"/>
      <c r="V38" s="21" t="s">
        <v>159</v>
      </c>
      <c r="W38" s="95">
        <v>46119</v>
      </c>
      <c r="X38" s="9"/>
      <c r="Y38" s="30" t="s">
        <v>140</v>
      </c>
    </row>
    <row r="39" spans="1:25" ht="130.05000000000001" customHeight="1" x14ac:dyDescent="0.35">
      <c r="A39" s="9">
        <f t="shared" si="0"/>
        <v>30</v>
      </c>
      <c r="B39" s="47"/>
      <c r="C39" s="47"/>
      <c r="D39" s="47"/>
      <c r="E39" s="61"/>
      <c r="F39" s="48"/>
      <c r="G39" s="47"/>
      <c r="H39" s="47"/>
      <c r="I39" s="48"/>
      <c r="J39" s="47"/>
      <c r="K39" s="57"/>
      <c r="L39" s="22" t="s">
        <v>181</v>
      </c>
      <c r="M39" s="30" t="s">
        <v>88</v>
      </c>
      <c r="N39" s="20">
        <v>46118</v>
      </c>
      <c r="O39" s="21" t="s">
        <v>137</v>
      </c>
      <c r="P39" s="21" t="s">
        <v>5</v>
      </c>
      <c r="Q39" s="21"/>
      <c r="R39" s="21"/>
      <c r="S39" s="21"/>
      <c r="T39" s="9"/>
      <c r="U39" s="21"/>
      <c r="V39" s="21" t="s">
        <v>160</v>
      </c>
      <c r="W39" s="96">
        <v>46119</v>
      </c>
      <c r="X39" s="9"/>
      <c r="Y39" s="30" t="s">
        <v>140</v>
      </c>
    </row>
    <row r="40" spans="1:25" ht="130.05000000000001" customHeight="1" x14ac:dyDescent="0.35">
      <c r="A40" s="9">
        <f t="shared" si="0"/>
        <v>31</v>
      </c>
      <c r="B40" s="49"/>
      <c r="C40" s="49"/>
      <c r="D40" s="49"/>
      <c r="E40" s="62"/>
      <c r="F40" s="50"/>
      <c r="G40" s="49"/>
      <c r="H40" s="49"/>
      <c r="I40" s="50"/>
      <c r="J40" s="49"/>
      <c r="K40" s="58"/>
      <c r="L40" s="22" t="s">
        <v>182</v>
      </c>
      <c r="M40" s="31" t="s">
        <v>183</v>
      </c>
      <c r="N40" s="20">
        <v>46118</v>
      </c>
      <c r="O40" s="21" t="s">
        <v>137</v>
      </c>
      <c r="P40" s="21" t="s">
        <v>5</v>
      </c>
      <c r="Q40" s="21"/>
      <c r="R40" s="21"/>
      <c r="S40" s="21"/>
      <c r="T40" s="9"/>
      <c r="U40" s="21"/>
      <c r="V40" s="21" t="s">
        <v>161</v>
      </c>
      <c r="W40" s="96">
        <v>46119</v>
      </c>
      <c r="X40" s="9"/>
      <c r="Y40" s="94" t="s">
        <v>141</v>
      </c>
    </row>
    <row r="41" spans="1:25" ht="130.05000000000001" customHeight="1" x14ac:dyDescent="0.25">
      <c r="A41" s="9">
        <f t="shared" si="0"/>
        <v>32</v>
      </c>
      <c r="B41" s="33" t="s">
        <v>81</v>
      </c>
      <c r="C41" s="33" t="s">
        <v>63</v>
      </c>
      <c r="D41" s="35" t="s">
        <v>115</v>
      </c>
      <c r="E41" s="33" t="s">
        <v>123</v>
      </c>
      <c r="F41" s="36" t="s">
        <v>46</v>
      </c>
      <c r="G41" s="33" t="s">
        <v>118</v>
      </c>
      <c r="H41" s="33" t="s">
        <v>86</v>
      </c>
      <c r="I41" s="33" t="s">
        <v>74</v>
      </c>
      <c r="J41" s="30" t="s">
        <v>70</v>
      </c>
      <c r="K41" s="8" t="s">
        <v>83</v>
      </c>
      <c r="L41" s="8" t="s">
        <v>87</v>
      </c>
      <c r="M41" s="31" t="s">
        <v>88</v>
      </c>
      <c r="N41" s="20">
        <v>46118</v>
      </c>
      <c r="O41" s="21" t="s">
        <v>137</v>
      </c>
      <c r="P41" s="21" t="s">
        <v>5</v>
      </c>
      <c r="Q41" s="21"/>
      <c r="R41" s="21"/>
      <c r="S41" s="21"/>
      <c r="T41" s="9"/>
      <c r="U41" s="21"/>
      <c r="V41" s="21" t="s">
        <v>162</v>
      </c>
      <c r="W41" s="9"/>
      <c r="X41" s="9"/>
      <c r="Y41" s="9"/>
    </row>
    <row r="42" spans="1:25" ht="130.05000000000001" customHeight="1" x14ac:dyDescent="0.25">
      <c r="A42" s="9">
        <f t="shared" si="0"/>
        <v>33</v>
      </c>
      <c r="B42" s="47"/>
      <c r="C42" s="47"/>
      <c r="D42" s="61"/>
      <c r="E42" s="57"/>
      <c r="F42" s="48"/>
      <c r="G42" s="47"/>
      <c r="H42" s="47"/>
      <c r="I42" s="47"/>
      <c r="J42" s="30" t="s">
        <v>89</v>
      </c>
      <c r="K42" s="36" t="s">
        <v>90</v>
      </c>
      <c r="L42" s="8" t="s">
        <v>87</v>
      </c>
      <c r="M42" s="31" t="s">
        <v>91</v>
      </c>
      <c r="N42" s="20">
        <v>46118</v>
      </c>
      <c r="O42" s="21" t="s">
        <v>137</v>
      </c>
      <c r="P42" s="21" t="s">
        <v>5</v>
      </c>
      <c r="Q42" s="21"/>
      <c r="R42" s="21"/>
      <c r="S42" s="21"/>
      <c r="T42" s="9"/>
      <c r="U42" s="21"/>
      <c r="V42" s="21" t="s">
        <v>163</v>
      </c>
      <c r="W42" s="9"/>
      <c r="X42" s="9"/>
      <c r="Y42" s="9"/>
    </row>
    <row r="43" spans="1:25" ht="130.05000000000001" customHeight="1" x14ac:dyDescent="0.25">
      <c r="A43" s="9">
        <f t="shared" si="0"/>
        <v>34</v>
      </c>
      <c r="B43" s="47"/>
      <c r="C43" s="47"/>
      <c r="D43" s="61"/>
      <c r="E43" s="57"/>
      <c r="F43" s="48"/>
      <c r="G43" s="47"/>
      <c r="H43" s="47"/>
      <c r="I43" s="47"/>
      <c r="J43" s="30" t="s">
        <v>92</v>
      </c>
      <c r="K43" s="58"/>
      <c r="L43" s="8" t="s">
        <v>87</v>
      </c>
      <c r="M43" s="31" t="s">
        <v>93</v>
      </c>
      <c r="N43" s="20">
        <v>46118</v>
      </c>
      <c r="O43" s="21" t="s">
        <v>137</v>
      </c>
      <c r="P43" s="21" t="s">
        <v>5</v>
      </c>
      <c r="Q43" s="21"/>
      <c r="R43" s="21"/>
      <c r="S43" s="21"/>
      <c r="T43" s="9"/>
      <c r="U43" s="21"/>
      <c r="V43" s="21" t="s">
        <v>164</v>
      </c>
      <c r="W43" s="9"/>
      <c r="X43" s="9"/>
      <c r="Y43" s="9"/>
    </row>
    <row r="44" spans="1:25" ht="130.05000000000001" customHeight="1" x14ac:dyDescent="0.25">
      <c r="A44" s="9">
        <f t="shared" si="0"/>
        <v>35</v>
      </c>
      <c r="B44" s="47"/>
      <c r="C44" s="47"/>
      <c r="D44" s="61"/>
      <c r="E44" s="57"/>
      <c r="F44" s="48"/>
      <c r="G44" s="47"/>
      <c r="H44" s="47"/>
      <c r="I44" s="47"/>
      <c r="J44" s="30" t="s">
        <v>92</v>
      </c>
      <c r="K44" s="36" t="s">
        <v>94</v>
      </c>
      <c r="L44" s="8" t="s">
        <v>87</v>
      </c>
      <c r="M44" s="31" t="s">
        <v>96</v>
      </c>
      <c r="N44" s="20">
        <v>46118</v>
      </c>
      <c r="O44" s="21" t="s">
        <v>137</v>
      </c>
      <c r="P44" s="21" t="s">
        <v>5</v>
      </c>
      <c r="Q44" s="21"/>
      <c r="R44" s="21"/>
      <c r="S44" s="21"/>
      <c r="T44" s="9"/>
      <c r="U44" s="21"/>
      <c r="V44" s="21" t="s">
        <v>165</v>
      </c>
      <c r="W44" s="9"/>
      <c r="X44" s="9"/>
      <c r="Y44" s="9"/>
    </row>
    <row r="45" spans="1:25" ht="130.05000000000001" customHeight="1" x14ac:dyDescent="0.25">
      <c r="A45" s="9">
        <f t="shared" si="0"/>
        <v>36</v>
      </c>
      <c r="B45" s="47"/>
      <c r="C45" s="47"/>
      <c r="D45" s="61"/>
      <c r="E45" s="57"/>
      <c r="F45" s="48"/>
      <c r="G45" s="47"/>
      <c r="H45" s="47"/>
      <c r="I45" s="47"/>
      <c r="J45" s="30" t="s">
        <v>95</v>
      </c>
      <c r="K45" s="58"/>
      <c r="L45" s="8" t="s">
        <v>87</v>
      </c>
      <c r="M45" s="31" t="s">
        <v>97</v>
      </c>
      <c r="N45" s="20">
        <v>46118</v>
      </c>
      <c r="O45" s="21" t="s">
        <v>137</v>
      </c>
      <c r="P45" s="21" t="s">
        <v>5</v>
      </c>
      <c r="Q45" s="21"/>
      <c r="R45" s="21"/>
      <c r="S45" s="21"/>
      <c r="T45" s="9"/>
      <c r="U45" s="21"/>
      <c r="V45" s="21" t="s">
        <v>166</v>
      </c>
      <c r="W45" s="9"/>
      <c r="X45" s="9"/>
      <c r="Y45" s="9"/>
    </row>
    <row r="46" spans="1:25" ht="130.05000000000001" customHeight="1" x14ac:dyDescent="0.25">
      <c r="A46" s="9">
        <f t="shared" si="0"/>
        <v>37</v>
      </c>
      <c r="B46" s="47"/>
      <c r="C46" s="47"/>
      <c r="D46" s="61"/>
      <c r="E46" s="57"/>
      <c r="F46" s="48"/>
      <c r="G46" s="47"/>
      <c r="H46" s="47"/>
      <c r="I46" s="47"/>
      <c r="J46" s="30" t="s">
        <v>95</v>
      </c>
      <c r="K46" s="36" t="s">
        <v>98</v>
      </c>
      <c r="L46" s="8" t="s">
        <v>87</v>
      </c>
      <c r="M46" s="31" t="s">
        <v>99</v>
      </c>
      <c r="N46" s="20">
        <v>46118</v>
      </c>
      <c r="O46" s="21" t="s">
        <v>137</v>
      </c>
      <c r="P46" s="21" t="s">
        <v>5</v>
      </c>
      <c r="Q46" s="21"/>
      <c r="R46" s="21"/>
      <c r="S46" s="21"/>
      <c r="T46" s="9"/>
      <c r="U46" s="21"/>
      <c r="V46" s="21" t="s">
        <v>167</v>
      </c>
      <c r="W46" s="9"/>
      <c r="X46" s="9"/>
      <c r="Y46" s="9"/>
    </row>
    <row r="47" spans="1:25" ht="130.05000000000001" customHeight="1" x14ac:dyDescent="0.25">
      <c r="A47" s="9">
        <f t="shared" si="0"/>
        <v>38</v>
      </c>
      <c r="B47" s="47"/>
      <c r="C47" s="47"/>
      <c r="D47" s="61"/>
      <c r="E47" s="57"/>
      <c r="F47" s="48"/>
      <c r="G47" s="47"/>
      <c r="H47" s="47"/>
      <c r="I47" s="47"/>
      <c r="J47" s="30" t="s">
        <v>92</v>
      </c>
      <c r="K47" s="58"/>
      <c r="L47" s="8" t="s">
        <v>87</v>
      </c>
      <c r="M47" s="31" t="s">
        <v>100</v>
      </c>
      <c r="N47" s="20">
        <v>46118</v>
      </c>
      <c r="O47" s="21" t="s">
        <v>137</v>
      </c>
      <c r="P47" s="21" t="s">
        <v>5</v>
      </c>
      <c r="Q47" s="21"/>
      <c r="R47" s="21"/>
      <c r="S47" s="21"/>
      <c r="T47" s="9"/>
      <c r="U47" s="21"/>
      <c r="V47" s="21" t="s">
        <v>168</v>
      </c>
      <c r="W47" s="9"/>
      <c r="X47" s="9"/>
      <c r="Y47" s="9"/>
    </row>
    <row r="48" spans="1:25" ht="130.05000000000001" customHeight="1" x14ac:dyDescent="0.25">
      <c r="A48" s="9">
        <f t="shared" si="0"/>
        <v>39</v>
      </c>
      <c r="B48" s="49"/>
      <c r="C48" s="49"/>
      <c r="D48" s="76"/>
      <c r="E48" s="72"/>
      <c r="F48" s="50"/>
      <c r="G48" s="49"/>
      <c r="H48" s="49"/>
      <c r="I48" s="49"/>
      <c r="J48" s="30" t="s">
        <v>108</v>
      </c>
      <c r="K48" s="8" t="s">
        <v>90</v>
      </c>
      <c r="L48" s="8" t="s">
        <v>87</v>
      </c>
      <c r="M48" s="31" t="s">
        <v>93</v>
      </c>
      <c r="N48" s="20">
        <v>46118</v>
      </c>
      <c r="O48" s="21" t="s">
        <v>137</v>
      </c>
      <c r="P48" s="21" t="s">
        <v>5</v>
      </c>
      <c r="Q48" s="21"/>
      <c r="R48" s="21"/>
      <c r="S48" s="21"/>
      <c r="T48" s="9"/>
      <c r="U48" s="21"/>
      <c r="V48" s="21" t="s">
        <v>169</v>
      </c>
      <c r="W48" s="9"/>
      <c r="X48" s="9"/>
      <c r="Y48" s="9"/>
    </row>
    <row r="49" spans="1:25" ht="130.05000000000001" customHeight="1" x14ac:dyDescent="0.25">
      <c r="A49" s="9">
        <f t="shared" si="0"/>
        <v>40</v>
      </c>
      <c r="B49" s="33" t="s">
        <v>81</v>
      </c>
      <c r="C49" s="68" t="s">
        <v>63</v>
      </c>
      <c r="D49" s="54" t="s">
        <v>117</v>
      </c>
      <c r="E49" s="54" t="s">
        <v>116</v>
      </c>
      <c r="F49" s="73" t="s">
        <v>35</v>
      </c>
      <c r="G49" s="33" t="s">
        <v>118</v>
      </c>
      <c r="H49" s="35" t="s">
        <v>101</v>
      </c>
      <c r="I49" s="33" t="s">
        <v>74</v>
      </c>
      <c r="J49" s="30" t="s">
        <v>70</v>
      </c>
      <c r="K49" s="8" t="s">
        <v>103</v>
      </c>
      <c r="L49" s="36" t="s">
        <v>87</v>
      </c>
      <c r="M49" s="30" t="s">
        <v>102</v>
      </c>
      <c r="N49" s="20">
        <v>46118</v>
      </c>
      <c r="O49" s="21" t="s">
        <v>137</v>
      </c>
      <c r="P49" s="21" t="s">
        <v>5</v>
      </c>
      <c r="Q49" s="21"/>
      <c r="R49" s="21"/>
      <c r="S49" s="21"/>
      <c r="T49" s="9"/>
      <c r="U49" s="21"/>
      <c r="V49" s="21" t="s">
        <v>170</v>
      </c>
      <c r="W49" s="9"/>
      <c r="X49" s="9"/>
      <c r="Y49" s="9"/>
    </row>
    <row r="50" spans="1:25" ht="130.05000000000001" customHeight="1" x14ac:dyDescent="0.25">
      <c r="A50" s="9">
        <f t="shared" si="0"/>
        <v>41</v>
      </c>
      <c r="B50" s="47"/>
      <c r="C50" s="69"/>
      <c r="D50" s="55"/>
      <c r="E50" s="55"/>
      <c r="F50" s="74"/>
      <c r="G50" s="47"/>
      <c r="H50" s="61"/>
      <c r="I50" s="47"/>
      <c r="J50" s="30" t="s">
        <v>171</v>
      </c>
      <c r="K50" s="8" t="s">
        <v>103</v>
      </c>
      <c r="L50" s="57"/>
      <c r="M50" s="30" t="s">
        <v>102</v>
      </c>
      <c r="N50" s="20">
        <v>46118</v>
      </c>
      <c r="O50" s="21" t="s">
        <v>137</v>
      </c>
      <c r="P50" s="21" t="s">
        <v>5</v>
      </c>
      <c r="Q50" s="21"/>
      <c r="R50" s="21"/>
      <c r="S50" s="21"/>
      <c r="T50" s="9"/>
      <c r="U50" s="21"/>
      <c r="V50" s="21" t="s">
        <v>172</v>
      </c>
      <c r="W50" s="9"/>
      <c r="X50" s="9"/>
      <c r="Y50" s="9"/>
    </row>
    <row r="51" spans="1:25" ht="130.05000000000001" customHeight="1" x14ac:dyDescent="0.25">
      <c r="A51" s="9">
        <f t="shared" si="0"/>
        <v>42</v>
      </c>
      <c r="B51" s="47"/>
      <c r="C51" s="69"/>
      <c r="D51" s="55"/>
      <c r="E51" s="55"/>
      <c r="F51" s="74"/>
      <c r="G51" s="47"/>
      <c r="H51" s="61"/>
      <c r="I51" s="47"/>
      <c r="J51" s="30" t="s">
        <v>95</v>
      </c>
      <c r="K51" s="8" t="s">
        <v>104</v>
      </c>
      <c r="L51" s="57"/>
      <c r="M51" s="31" t="s">
        <v>105</v>
      </c>
      <c r="N51" s="20">
        <v>46118</v>
      </c>
      <c r="O51" s="21" t="s">
        <v>137</v>
      </c>
      <c r="P51" s="21" t="s">
        <v>5</v>
      </c>
      <c r="Q51" s="21"/>
      <c r="R51" s="21"/>
      <c r="S51" s="21"/>
      <c r="T51" s="9"/>
      <c r="U51" s="21"/>
      <c r="V51" s="21" t="s">
        <v>173</v>
      </c>
      <c r="W51" s="9"/>
      <c r="X51" s="9"/>
      <c r="Y51" s="9"/>
    </row>
    <row r="52" spans="1:25" ht="130.05000000000001" customHeight="1" x14ac:dyDescent="0.25">
      <c r="A52" s="32">
        <f t="shared" si="0"/>
        <v>43</v>
      </c>
      <c r="B52" s="49"/>
      <c r="C52" s="70"/>
      <c r="D52" s="53"/>
      <c r="E52" s="53"/>
      <c r="F52" s="75"/>
      <c r="G52" s="71"/>
      <c r="H52" s="62"/>
      <c r="I52" s="49"/>
      <c r="J52" s="33" t="s">
        <v>95</v>
      </c>
      <c r="K52" s="36" t="s">
        <v>106</v>
      </c>
      <c r="L52" s="72"/>
      <c r="M52" s="37" t="s">
        <v>107</v>
      </c>
      <c r="N52" s="38">
        <v>46118</v>
      </c>
      <c r="O52" s="21" t="s">
        <v>137</v>
      </c>
      <c r="P52" s="39" t="s">
        <v>5</v>
      </c>
      <c r="Q52" s="39"/>
      <c r="R52" s="39"/>
      <c r="S52" s="39"/>
      <c r="T52" s="32"/>
      <c r="U52" s="39"/>
      <c r="V52" s="21" t="s">
        <v>174</v>
      </c>
      <c r="W52" s="32"/>
      <c r="X52" s="32"/>
      <c r="Y52" s="32"/>
    </row>
    <row r="53" spans="1:25" ht="130.05000000000001" customHeight="1" x14ac:dyDescent="0.25">
      <c r="A53" s="32">
        <f>ROW()-9</f>
        <v>44</v>
      </c>
      <c r="B53" s="33" t="s">
        <v>81</v>
      </c>
      <c r="C53" s="33" t="s">
        <v>63</v>
      </c>
      <c r="D53" s="53" t="s">
        <v>124</v>
      </c>
      <c r="E53" s="41" t="s">
        <v>125</v>
      </c>
      <c r="F53" s="56" t="s">
        <v>35</v>
      </c>
      <c r="G53" s="93" t="s">
        <v>126</v>
      </c>
      <c r="H53" s="35" t="s">
        <v>127</v>
      </c>
      <c r="I53" s="33"/>
      <c r="J53" s="33" t="s">
        <v>128</v>
      </c>
      <c r="K53" s="36" t="s">
        <v>103</v>
      </c>
      <c r="L53" s="42" t="s">
        <v>87</v>
      </c>
      <c r="M53" s="43" t="s">
        <v>129</v>
      </c>
      <c r="N53" s="44">
        <v>46118</v>
      </c>
      <c r="O53" s="21" t="s">
        <v>137</v>
      </c>
      <c r="P53" s="45" t="s">
        <v>5</v>
      </c>
      <c r="Q53" s="45"/>
      <c r="R53" s="45"/>
      <c r="S53" s="45"/>
      <c r="T53" s="40"/>
      <c r="U53" s="45"/>
      <c r="V53" s="21" t="s">
        <v>175</v>
      </c>
      <c r="W53" s="40"/>
      <c r="X53" s="40"/>
      <c r="Y53" s="40"/>
    </row>
    <row r="54" spans="1:25" ht="130.05000000000001" customHeight="1" x14ac:dyDescent="0.45">
      <c r="A54" s="32">
        <f>ROW()-9</f>
        <v>45</v>
      </c>
      <c r="B54" s="33" t="s">
        <v>81</v>
      </c>
      <c r="C54" s="68" t="s">
        <v>63</v>
      </c>
      <c r="D54" s="54" t="s">
        <v>122</v>
      </c>
      <c r="E54" s="54" t="s">
        <v>130</v>
      </c>
      <c r="F54" s="56" t="s">
        <v>35</v>
      </c>
      <c r="G54" s="55" t="s">
        <v>118</v>
      </c>
      <c r="H54" s="86" t="s">
        <v>131</v>
      </c>
      <c r="I54" s="54"/>
      <c r="J54" s="33" t="s">
        <v>70</v>
      </c>
      <c r="K54" s="90" t="s">
        <v>132</v>
      </c>
      <c r="L54" s="91" t="s">
        <v>46</v>
      </c>
      <c r="M54" s="92" t="s">
        <v>136</v>
      </c>
      <c r="N54" s="44">
        <v>46118</v>
      </c>
      <c r="O54" s="21" t="s">
        <v>137</v>
      </c>
      <c r="P54" s="45" t="s">
        <v>5</v>
      </c>
      <c r="Q54" s="45"/>
      <c r="R54" s="45"/>
      <c r="S54" s="45"/>
      <c r="T54" s="40"/>
      <c r="U54" s="45"/>
      <c r="V54" s="21" t="s">
        <v>176</v>
      </c>
      <c r="W54" s="40"/>
      <c r="X54" s="40"/>
      <c r="Y54" s="40"/>
    </row>
    <row r="55" spans="1:25" ht="130.05000000000001" customHeight="1" x14ac:dyDescent="0.25">
      <c r="A55" s="32">
        <f>ROW()-9</f>
        <v>46</v>
      </c>
      <c r="B55" s="47"/>
      <c r="C55" s="69"/>
      <c r="D55" s="55"/>
      <c r="E55" s="55"/>
      <c r="F55" s="80"/>
      <c r="G55" s="55"/>
      <c r="H55" s="81"/>
      <c r="I55" s="55"/>
      <c r="J55" s="79"/>
      <c r="K55" s="90" t="s">
        <v>133</v>
      </c>
      <c r="L55" s="87"/>
      <c r="M55" s="92" t="s">
        <v>136</v>
      </c>
      <c r="N55" s="44">
        <v>46118</v>
      </c>
      <c r="O55" s="21" t="s">
        <v>137</v>
      </c>
      <c r="P55" s="45" t="s">
        <v>5</v>
      </c>
      <c r="Q55" s="45"/>
      <c r="R55" s="45"/>
      <c r="S55" s="45"/>
      <c r="T55" s="40"/>
      <c r="U55" s="45"/>
      <c r="V55" s="21" t="s">
        <v>177</v>
      </c>
      <c r="W55" s="40"/>
      <c r="X55" s="40"/>
      <c r="Y55" s="40"/>
    </row>
    <row r="56" spans="1:25" ht="130.05000000000001" customHeight="1" x14ac:dyDescent="0.25">
      <c r="A56" s="32">
        <f>ROW()-9</f>
        <v>47</v>
      </c>
      <c r="B56" s="47"/>
      <c r="C56" s="69"/>
      <c r="D56" s="55"/>
      <c r="E56" s="55"/>
      <c r="F56" s="64"/>
      <c r="G56" s="84"/>
      <c r="H56" s="81"/>
      <c r="I56" s="55"/>
      <c r="J56" s="55"/>
      <c r="K56" s="90" t="s">
        <v>134</v>
      </c>
      <c r="L56" s="87"/>
      <c r="M56" s="92" t="s">
        <v>136</v>
      </c>
      <c r="N56" s="44">
        <v>46119</v>
      </c>
      <c r="O56" s="21" t="s">
        <v>137</v>
      </c>
      <c r="P56" s="45" t="s">
        <v>5</v>
      </c>
      <c r="Q56" s="45"/>
      <c r="R56" s="45"/>
      <c r="S56" s="45"/>
      <c r="T56" s="40"/>
      <c r="U56" s="45"/>
      <c r="V56" s="21" t="s">
        <v>178</v>
      </c>
      <c r="W56" s="40"/>
      <c r="X56" s="40"/>
      <c r="Y56" s="40"/>
    </row>
    <row r="57" spans="1:25" ht="130.05000000000001" customHeight="1" x14ac:dyDescent="0.25">
      <c r="A57" s="32">
        <f>ROW()-9</f>
        <v>48</v>
      </c>
      <c r="B57" s="71"/>
      <c r="C57" s="85"/>
      <c r="D57" s="53"/>
      <c r="E57" s="53"/>
      <c r="F57" s="4"/>
      <c r="G57" s="83"/>
      <c r="H57" s="82"/>
      <c r="I57" s="53"/>
      <c r="J57" s="53"/>
      <c r="K57" s="89" t="s">
        <v>135</v>
      </c>
      <c r="L57" s="88"/>
      <c r="M57" s="43" t="s">
        <v>136</v>
      </c>
      <c r="N57" s="44">
        <v>46119</v>
      </c>
      <c r="O57" s="21" t="s">
        <v>137</v>
      </c>
      <c r="P57" s="45" t="s">
        <v>5</v>
      </c>
      <c r="Q57" s="45"/>
      <c r="R57" s="45"/>
      <c r="S57" s="45"/>
      <c r="T57" s="40"/>
      <c r="U57" s="45"/>
      <c r="V57" s="21" t="s">
        <v>179</v>
      </c>
      <c r="W57" s="40"/>
      <c r="X57" s="40"/>
      <c r="Y57" s="40"/>
    </row>
    <row r="58" spans="1:25" ht="15.75" customHeight="1" x14ac:dyDescent="0.25">
      <c r="A58" s="78"/>
      <c r="B58" s="78"/>
      <c r="C58" s="78"/>
      <c r="F58" s="78"/>
    </row>
  </sheetData>
  <autoFilter ref="A9:AB52" xr:uid="{00000000-0009-0000-0000-000000000000}"/>
  <mergeCells count="2">
    <mergeCell ref="A1:B2"/>
    <mergeCell ref="C1:E2"/>
  </mergeCells>
  <phoneticPr fontId="10"/>
  <dataValidations count="1">
    <dataValidation type="list" allowBlank="1" showErrorMessage="1" sqref="P10:P57" xr:uid="{00000000-0002-0000-0000-000000000000}">
      <formula1>"未実施,OK,NG,保留,対象外"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C6"/>
  <sheetViews>
    <sheetView workbookViewId="0"/>
  </sheetViews>
  <sheetFormatPr defaultColWidth="12.5546875" defaultRowHeight="15.75" customHeight="1" x14ac:dyDescent="0.25"/>
  <sheetData>
    <row r="1" spans="2:3" ht="15.75" customHeight="1" x14ac:dyDescent="0.25">
      <c r="B1" s="7" t="s">
        <v>39</v>
      </c>
      <c r="C1" s="7" t="s">
        <v>40</v>
      </c>
    </row>
    <row r="2" spans="2:3" ht="15.75" customHeight="1" x14ac:dyDescent="0.25">
      <c r="B2" s="7" t="s">
        <v>4</v>
      </c>
      <c r="C2" s="7" t="s">
        <v>41</v>
      </c>
    </row>
    <row r="3" spans="2:3" ht="15.75" customHeight="1" x14ac:dyDescent="0.25">
      <c r="B3" s="7" t="s">
        <v>5</v>
      </c>
      <c r="C3" s="7" t="s">
        <v>42</v>
      </c>
    </row>
    <row r="4" spans="2:3" ht="15.75" customHeight="1" x14ac:dyDescent="0.25">
      <c r="B4" s="7" t="s">
        <v>6</v>
      </c>
      <c r="C4" s="7" t="s">
        <v>43</v>
      </c>
    </row>
    <row r="5" spans="2:3" ht="15.75" customHeight="1" x14ac:dyDescent="0.25">
      <c r="B5" s="7" t="s">
        <v>7</v>
      </c>
      <c r="C5" s="7" t="s">
        <v>44</v>
      </c>
    </row>
    <row r="6" spans="2:3" ht="15.75" customHeight="1" x14ac:dyDescent="0.25">
      <c r="B6" s="7" t="s">
        <v>8</v>
      </c>
      <c r="C6" s="7" t="s">
        <v>45</v>
      </c>
    </row>
  </sheetData>
  <phoneticPr fontId="1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e74439-770c-4fc9-ac5f-1a1664423898" xsi:nil="true"/>
    <lcf76f155ced4ddcb4097134ff3c332f xmlns="1d87f29b-d4de-4f6d-82f2-e666e652bcc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47C8F348061764B834DA7E985FE720A" ma:contentTypeVersion="11" ma:contentTypeDescription="新しいドキュメントを作成します。" ma:contentTypeScope="" ma:versionID="3d8a17e44f423f2c021e2c29c5528145">
  <xsd:schema xmlns:xsd="http://www.w3.org/2001/XMLSchema" xmlns:xs="http://www.w3.org/2001/XMLSchema" xmlns:p="http://schemas.microsoft.com/office/2006/metadata/properties" xmlns:ns2="1d87f29b-d4de-4f6d-82f2-e666e652bcc1" xmlns:ns3="78e74439-770c-4fc9-ac5f-1a1664423898" targetNamespace="http://schemas.microsoft.com/office/2006/metadata/properties" ma:root="true" ma:fieldsID="838a43faee2b9dde1b65bcea094725db" ns2:_="" ns3:_="">
    <xsd:import namespace="1d87f29b-d4de-4f6d-82f2-e666e652bcc1"/>
    <xsd:import namespace="78e74439-770c-4fc9-ac5f-1a16644238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f29b-d4de-4f6d-82f2-e666e652bc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bb053673-7494-4c78-b35a-7d9f819559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74439-770c-4fc9-ac5f-1a16644238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3353e1-347a-4fd4-9f11-2d2d7d069d74}" ma:internalName="TaxCatchAll" ma:showField="CatchAllData" ma:web="78e74439-770c-4fc9-ac5f-1a166442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29290A-37D1-4441-9ACF-2712E7C4283B}">
  <ds:schemaRefs>
    <ds:schemaRef ds:uri="http://schemas.microsoft.com/office/2006/metadata/properties"/>
    <ds:schemaRef ds:uri="http://schemas.microsoft.com/office/infopath/2007/PartnerControls"/>
    <ds:schemaRef ds:uri="78e74439-770c-4fc9-ac5f-1a1664423898"/>
    <ds:schemaRef ds:uri="1d87f29b-d4de-4f6d-82f2-e666e652bcc1"/>
  </ds:schemaRefs>
</ds:datastoreItem>
</file>

<file path=customXml/itemProps2.xml><?xml version="1.0" encoding="utf-8"?>
<ds:datastoreItem xmlns:ds="http://schemas.openxmlformats.org/officeDocument/2006/customXml" ds:itemID="{C5713A28-C5F6-4543-ABA9-8335425671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9D92BA-E512-44A0-B246-04F954A5FE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87f29b-d4de-4f6d-82f2-e666e652bcc1"/>
    <ds:schemaRef ds:uri="78e74439-770c-4fc9-ac5f-1a16644238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テスト仕様書</vt:lpstr>
      <vt:lpstr>ステータス定義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木内 沙耶</dc:creator>
  <cp:lastModifiedBy>成瀬 小春</cp:lastModifiedBy>
  <dcterms:created xsi:type="dcterms:W3CDTF">2024-06-21T05:07:27Z</dcterms:created>
  <dcterms:modified xsi:type="dcterms:W3CDTF">2026-04-13T05:47:25Z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0x010100F47C8F348061764B834DA7E985FE720A</vt:lpwstr>
  </property>
</Properties>
</file>