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techno08-my.sharepoint.com/personal/naruse-koharu_techno-concier_co_jp/Documents/研修/"/>
    </mc:Choice>
  </mc:AlternateContent>
  <xr:revisionPtr revIDLastSave="346" documentId="14_{63D6364E-775E-4DA7-BF41-2ADB2B8DEC30}" xr6:coauthVersionLast="47" xr6:coauthVersionMax="47" xr10:uidLastSave="{D1607AC2-091C-4353-A425-48C944846DF1}"/>
  <bookViews>
    <workbookView xWindow="-108" yWindow="-108" windowWidth="23256" windowHeight="12456" xr2:uid="{00000000-000D-0000-FFFF-FFFF00000000}"/>
  </bookViews>
  <sheets>
    <sheet name="検索画面テスト仕様書" sheetId="1" r:id="rId1"/>
    <sheet name="ステータス定義" sheetId="2" r:id="rId2"/>
  </sheets>
  <definedNames>
    <definedName name="_xlnm._FilterDatabase" localSheetId="0" hidden="1">検索画面テスト仕様書!$A$9:$AB$88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 i="1" l="1"/>
  <c r="A87" i="1"/>
  <c r="A88" i="1"/>
  <c r="A85" i="1"/>
  <c r="A81" i="1"/>
  <c r="A82" i="1"/>
  <c r="A83" i="1"/>
  <c r="A84" i="1"/>
  <c r="A68" i="1"/>
  <c r="A69" i="1"/>
  <c r="A70" i="1"/>
  <c r="A71" i="1"/>
  <c r="A72" i="1"/>
  <c r="A73" i="1"/>
  <c r="A74" i="1"/>
  <c r="A75" i="1"/>
  <c r="A76" i="1"/>
  <c r="A77" i="1"/>
  <c r="A78" i="1"/>
  <c r="A79" i="1"/>
  <c r="A80" i="1"/>
  <c r="A54" i="1" l="1"/>
  <c r="A55" i="1"/>
  <c r="A56" i="1"/>
  <c r="A57" i="1"/>
  <c r="A58" i="1"/>
  <c r="A59" i="1"/>
  <c r="A60" i="1"/>
  <c r="A61" i="1"/>
  <c r="A62" i="1"/>
  <c r="A63" i="1"/>
  <c r="A64" i="1"/>
  <c r="A65" i="1"/>
  <c r="A66" i="1"/>
  <c r="A67" i="1"/>
  <c r="A35" i="1"/>
  <c r="A36" i="1"/>
  <c r="A37" i="1"/>
  <c r="A38" i="1"/>
  <c r="A39" i="1"/>
  <c r="A40" i="1"/>
  <c r="A41" i="1"/>
  <c r="A42" i="1"/>
  <c r="A43" i="1"/>
  <c r="A44" i="1"/>
  <c r="A45" i="1"/>
  <c r="A46" i="1"/>
  <c r="A47" i="1"/>
  <c r="A48" i="1"/>
  <c r="A49" i="1"/>
  <c r="A50" i="1"/>
  <c r="A51" i="1"/>
  <c r="A52" i="1"/>
  <c r="A53" i="1"/>
  <c r="A34" i="1"/>
  <c r="A33" i="1"/>
  <c r="A31" i="1" l="1"/>
  <c r="A30" i="1" l="1"/>
  <c r="A26" i="1"/>
  <c r="A27" i="1"/>
  <c r="A28" i="1"/>
  <c r="A25" i="1"/>
  <c r="A29" i="1"/>
  <c r="A22" i="1"/>
  <c r="A23" i="1"/>
  <c r="A21" i="1"/>
  <c r="A20" i="1"/>
  <c r="A19" i="1"/>
  <c r="A32" i="1" l="1"/>
  <c r="A24" i="1"/>
  <c r="A18" i="1"/>
  <c r="A17" i="1"/>
  <c r="A16" i="1"/>
  <c r="A15" i="1"/>
  <c r="A14" i="1"/>
  <c r="A13" i="1"/>
  <c r="A12" i="1"/>
  <c r="A11" i="1"/>
  <c r="A10" i="1"/>
  <c r="G5" i="1"/>
  <c r="F5" i="1"/>
  <c r="E5" i="1"/>
  <c r="D5" i="1"/>
  <c r="C5" i="1"/>
  <c r="B5" i="1" l="1"/>
</calcChain>
</file>

<file path=xl/sharedStrings.xml><?xml version="1.0" encoding="utf-8"?>
<sst xmlns="http://schemas.openxmlformats.org/spreadsheetml/2006/main" count="598" uniqueCount="245">
  <si>
    <t>　</t>
  </si>
  <si>
    <t>作成日</t>
  </si>
  <si>
    <t>作成者</t>
  </si>
  <si>
    <t>ケース数</t>
  </si>
  <si>
    <t>未実施</t>
  </si>
  <si>
    <t>OK</t>
  </si>
  <si>
    <t>NG</t>
  </si>
  <si>
    <t>保留</t>
  </si>
  <si>
    <t>対象外</t>
  </si>
  <si>
    <t>テスト仕様書作成時の入力項目</t>
  </si>
  <si>
    <t>テスト実施時に記入を行う</t>
  </si>
  <si>
    <t>No</t>
  </si>
  <si>
    <t>設計書のシート名</t>
  </si>
  <si>
    <t>テスト設計書シート名</t>
  </si>
  <si>
    <t>テスト観点</t>
  </si>
  <si>
    <t>確認内容</t>
  </si>
  <si>
    <t>起動経路</t>
  </si>
  <si>
    <t>テスト対象項目</t>
  </si>
  <si>
    <t>部品</t>
  </si>
  <si>
    <t>実行前提条件</t>
  </si>
  <si>
    <t>実行手順</t>
  </si>
  <si>
    <t>入力値</t>
  </si>
  <si>
    <t>期待値</t>
  </si>
  <si>
    <t>実行日時</t>
  </si>
  <si>
    <t>実行者</t>
  </si>
  <si>
    <t>実行結果</t>
  </si>
  <si>
    <t>OS</t>
  </si>
  <si>
    <t>ブラウザ</t>
  </si>
  <si>
    <t>ブラウザのVersion</t>
  </si>
  <si>
    <t>スマホ端末名</t>
  </si>
  <si>
    <t>ログインユーザー</t>
  </si>
  <si>
    <t>エビデンスファイル名</t>
  </si>
  <si>
    <t>再テスト実施日</t>
  </si>
  <si>
    <t>不具合タイトル</t>
  </si>
  <si>
    <t>備考</t>
  </si>
  <si>
    <t>PC</t>
  </si>
  <si>
    <t>テキストボックス</t>
  </si>
  <si>
    <t>ステータス</t>
  </si>
  <si>
    <t>定義</t>
  </si>
  <si>
    <t>テスト実施の未着手</t>
  </si>
  <si>
    <t>テスト実施を行い期待値と同じ動作と一致する</t>
  </si>
  <si>
    <t>テスト実施を行い期待値と同じ動作と一致しない</t>
  </si>
  <si>
    <t>テスト実施方法やデータ作成について問い合わせ中</t>
  </si>
  <si>
    <t>パターンが存在しないなど、テスト実施不可</t>
  </si>
  <si>
    <t>PC</t>
    <phoneticPr fontId="10"/>
  </si>
  <si>
    <t>テキストボックス</t>
    <phoneticPr fontId="10"/>
  </si>
  <si>
    <t>ボタン</t>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</si>
  <si>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大文字
</t>
    </r>
    <r>
      <rPr>
        <sz val="10"/>
        <color theme="1"/>
        <rFont val="Arial"/>
        <family val="2"/>
        <scheme val="minor"/>
      </rPr>
      <t>AB</t>
    </r>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</si>
  <si>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小文字
</t>
    </r>
    <r>
      <rPr>
        <sz val="10"/>
        <color theme="1"/>
        <rFont val="Arial"/>
        <family val="2"/>
        <scheme val="minor"/>
      </rPr>
      <t>ab</t>
    </r>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</si>
  <si>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記号
</t>
    </r>
    <r>
      <rPr>
        <sz val="10"/>
        <color theme="1"/>
        <rFont val="Arial"/>
        <family val="3"/>
      </rPr>
      <t>?</t>
    </r>
    <r>
      <rPr>
        <sz val="10"/>
        <color theme="1"/>
        <rFont val="Arial"/>
        <family val="2"/>
        <scheme val="minor"/>
      </rPr>
      <t>&gt;</t>
    </r>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</si>
  <si>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カタカナ
ｱｲ</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</si>
  <si>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大文字
ＡＢ</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</si>
  <si>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小文字
ａｂ</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</si>
  <si>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記号
？＞</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</si>
  <si>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ひらがな
あい</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</si>
  <si>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カタカナ
アイ</t>
    </r>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</si>
  <si>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漢字
一二</t>
    </r>
    <rPh sb="12" eb="14">
      <t>カンジ</t>
    </rPh>
    <rPh sb="15" eb="16">
      <t>イチ</t>
    </rPh>
    <rPh sb="16" eb="17">
      <t>ニ</t>
    </rPh>
    <phoneticPr fontId="10"/>
  </si>
  <si>
    <t>テスト仕様書</t>
    <rPh sb="3" eb="6">
      <t>シヨウショ</t>
    </rPh>
    <phoneticPr fontId="10"/>
  </si>
  <si>
    <t>成瀬</t>
    <rPh sb="0" eb="2">
      <t>ナルセ</t>
    </rPh>
    <phoneticPr fontId="10"/>
  </si>
  <si>
    <t>画面イメージ</t>
    <rPh sb="0" eb="2">
      <t>ガメン</t>
    </rPh>
    <phoneticPr fontId="10"/>
  </si>
  <si>
    <t>設計書の「画面イメージ」と比較して
表示項目が同一であることを確認する</t>
    <rPh sb="5" eb="7">
      <t>ガメン</t>
    </rPh>
    <phoneticPr fontId="10"/>
  </si>
  <si>
    <t>処理詳細</t>
    <rPh sb="0" eb="4">
      <t>ショリショウサイ</t>
    </rPh>
    <phoneticPr fontId="10"/>
  </si>
  <si>
    <r>
      <rPr>
        <sz val="10"/>
        <color theme="1"/>
        <rFont val="ＭＳ ゴシック"/>
        <family val="3"/>
        <charset val="128"/>
      </rPr>
      <t xml:space="preserve">
以下が入力が行えること</t>
    </r>
    <r>
      <rPr>
        <sz val="10"/>
        <color theme="1"/>
        <rFont val="Arial"/>
        <family val="2"/>
        <scheme val="minor"/>
      </rPr>
      <t xml:space="preserve">                
        </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大文字、小文字、数字、記号、カタカナ
</t>
    </r>
    <r>
      <rPr>
        <sz val="10"/>
        <color theme="1"/>
        <rFont val="Arial"/>
        <family val="2"/>
        <scheme val="minor"/>
      </rPr>
      <t xml:space="preserve">        </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大文字、小文字、数字、記号、ひらがな、カタカナ、漢字</t>
    </r>
    <phoneticPr fontId="10"/>
  </si>
  <si>
    <t>設計書の「画面イメージ」と実際の表示項目が同一であることを確認し、PCのWEBブラウザにて、レイアウト崩れがないことを確認する</t>
    <rPh sb="5" eb="7">
      <t>ガメン</t>
    </rPh>
    <phoneticPr fontId="10"/>
  </si>
  <si>
    <r>
      <rPr>
        <sz val="10"/>
        <color theme="1"/>
        <rFont val="ＭＳ ゴシック"/>
        <family val="3"/>
        <charset val="128"/>
      </rPr>
      <t>画面上に項目が存在すること</t>
    </r>
    <r>
      <rPr>
        <sz val="10"/>
        <color theme="1"/>
        <rFont val="Arial"/>
        <family val="2"/>
        <scheme val="minor"/>
      </rPr>
      <t>、レイアウトの崩れがないこと
項目の重なりがないこと</t>
    </r>
    <phoneticPr fontId="10"/>
  </si>
  <si>
    <t>入力の型が対応されていること</t>
    <rPh sb="0" eb="2">
      <t>ニュウリョク</t>
    </rPh>
    <rPh sb="3" eb="4">
      <t>カタ</t>
    </rPh>
    <rPh sb="5" eb="7">
      <t>タイオウ</t>
    </rPh>
    <phoneticPr fontId="10"/>
  </si>
  <si>
    <t>入力文字数の境界値</t>
    <rPh sb="0" eb="2">
      <t>ニュウリョク</t>
    </rPh>
    <rPh sb="2" eb="5">
      <t>モジスウ</t>
    </rPh>
    <rPh sb="6" eb="8">
      <t>キョウカイ</t>
    </rPh>
    <rPh sb="8" eb="9">
      <t>チ</t>
    </rPh>
    <phoneticPr fontId="10"/>
  </si>
  <si>
    <t>ボタン押下時に備品一覧が更新されるか確認すること</t>
    <rPh sb="3" eb="6">
      <t>オウカジ</t>
    </rPh>
    <rPh sb="7" eb="11">
      <t>ビヒンイチラン</t>
    </rPh>
    <rPh sb="12" eb="14">
      <t>コウシン</t>
    </rPh>
    <rPh sb="18" eb="20">
      <t>カクニン</t>
    </rPh>
    <phoneticPr fontId="10"/>
  </si>
  <si>
    <t>備品一覧（ID、備品名称、状態、使用回数）がDBのテーブル通りに表示されること</t>
    <phoneticPr fontId="10"/>
  </si>
  <si>
    <t>エラー処理動作</t>
    <rPh sb="3" eb="7">
      <t>ショリドウサ</t>
    </rPh>
    <phoneticPr fontId="10"/>
  </si>
  <si>
    <t>「予期せぬエラーが発生しました」と表示されること</t>
    <rPh sb="1" eb="3">
      <t>ヨキ</t>
    </rPh>
    <rPh sb="9" eb="11">
      <t>ハッセイ</t>
    </rPh>
    <rPh sb="17" eb="19">
      <t>ヒョウジ</t>
    </rPh>
    <phoneticPr fontId="10"/>
  </si>
  <si>
    <t>成瀬</t>
    <rPh sb="0" eb="2">
      <t>ナルセ</t>
    </rPh>
    <phoneticPr fontId="10"/>
  </si>
  <si>
    <t>try-catch内で意図的に例外エラーを発生させて、表示メッセージを確認</t>
    <rPh sb="9" eb="10">
      <t>ナイ</t>
    </rPh>
    <rPh sb="11" eb="14">
      <t>イトテキ</t>
    </rPh>
    <rPh sb="15" eb="17">
      <t>レイガイ</t>
    </rPh>
    <rPh sb="21" eb="23">
      <t>ハッセイ</t>
    </rPh>
    <rPh sb="27" eb="29">
      <t>ヒョウジ</t>
    </rPh>
    <rPh sb="35" eb="37">
      <t>カクニン</t>
    </rPh>
    <phoneticPr fontId="10"/>
  </si>
  <si>
    <r>
      <rPr>
        <sz val="11"/>
        <color theme="1"/>
        <rFont val="ＭＳ ゴシック"/>
        <family val="3"/>
        <charset val="128"/>
      </rPr>
      <t>検索画面テスト仕様書</t>
    </r>
    <r>
      <rPr>
        <sz val="11"/>
        <color theme="1"/>
        <rFont val="Arial"/>
        <family val="2"/>
      </rPr>
      <t>(</t>
    </r>
    <r>
      <rPr>
        <sz val="11"/>
        <color theme="1"/>
        <rFont val="游ゴシック"/>
        <family val="2"/>
        <charset val="128"/>
      </rPr>
      <t>備品管理アプリ</t>
    </r>
    <r>
      <rPr>
        <sz val="11"/>
        <color theme="1"/>
        <rFont val="Arial"/>
        <family val="2"/>
      </rPr>
      <t>)</t>
    </r>
    <rPh sb="0" eb="4">
      <t>ケンサクガメン</t>
    </rPh>
    <rPh sb="11" eb="15">
      <t>ビヒンカンリ</t>
    </rPh>
    <phoneticPr fontId="10"/>
  </si>
  <si>
    <t>ID</t>
    <phoneticPr fontId="10"/>
  </si>
  <si>
    <t>検索画面
&gt;検索条件を入力
&gt;検索ボタン押下
&gt;メッセージ表示
&gt;対象備品一覧表示</t>
    <rPh sb="0" eb="2">
      <t>ケンサク</t>
    </rPh>
    <rPh sb="2" eb="4">
      <t>ガメン</t>
    </rPh>
    <rPh sb="6" eb="8">
      <t>ケンサク</t>
    </rPh>
    <rPh sb="8" eb="10">
      <t>ジョウケン</t>
    </rPh>
    <rPh sb="11" eb="13">
      <t>ニュウリョク</t>
    </rPh>
    <rPh sb="15" eb="17">
      <t>ケンサク</t>
    </rPh>
    <rPh sb="33" eb="35">
      <t>オウカ</t>
    </rPh>
    <phoneticPr fontId="10"/>
  </si>
  <si>
    <t>備品名</t>
    <rPh sb="0" eb="3">
      <t>ビヒンメイ</t>
    </rPh>
    <phoneticPr fontId="10"/>
  </si>
  <si>
    <t>貸出可能</t>
    <rPh sb="0" eb="4">
      <t>カシダシカノウ</t>
    </rPh>
    <phoneticPr fontId="10"/>
  </si>
  <si>
    <t>チェックボックス</t>
    <phoneticPr fontId="10"/>
  </si>
  <si>
    <t>貸出中</t>
    <rPh sb="0" eb="3">
      <t>カシダシチュウ</t>
    </rPh>
    <phoneticPr fontId="10"/>
  </si>
  <si>
    <t>使用回数</t>
    <rPh sb="0" eb="4">
      <t>シヨウカイスウ</t>
    </rPh>
    <phoneticPr fontId="10"/>
  </si>
  <si>
    <t>使用回数（以上）</t>
    <rPh sb="0" eb="4">
      <t>シヨウカイスウ</t>
    </rPh>
    <rPh sb="5" eb="7">
      <t>イジョウ</t>
    </rPh>
    <phoneticPr fontId="10"/>
  </si>
  <si>
    <t>使用回数（以下）</t>
    <rPh sb="0" eb="4">
      <t>シヨウカイスウ</t>
    </rPh>
    <rPh sb="5" eb="7">
      <t>イカ</t>
    </rPh>
    <phoneticPr fontId="10"/>
  </si>
  <si>
    <t>検索</t>
    <rPh sb="0" eb="2">
      <t>ケンサク</t>
    </rPh>
    <phoneticPr fontId="10"/>
  </si>
  <si>
    <t>戻る</t>
    <rPh sb="0" eb="1">
      <t>モド</t>
    </rPh>
    <phoneticPr fontId="10"/>
  </si>
  <si>
    <t>検索画面に、画面遷移していること
備品が登録されていること</t>
    <rPh sb="0" eb="2">
      <t>ケンサク</t>
    </rPh>
    <rPh sb="2" eb="4">
      <t>ガメン</t>
    </rPh>
    <rPh sb="6" eb="8">
      <t>ガメン</t>
    </rPh>
    <rPh sb="8" eb="10">
      <t>センイ</t>
    </rPh>
    <rPh sb="17" eb="19">
      <t>ビヒン</t>
    </rPh>
    <rPh sb="20" eb="22">
      <t>トウロク</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</si>
  <si>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3"/>
        <charset val="128"/>
      </rPr>
      <t>テキストボックスに入力値の内容を入力する</t>
    </r>
    <rPh sb="9" eb="13">
      <t>ビヒンケンサク</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</si>
  <si>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チェック</t>
    </r>
    <r>
      <rPr>
        <sz val="10"/>
        <color theme="1"/>
        <rFont val="ＭＳ ゴシック"/>
        <family val="3"/>
        <charset val="128"/>
      </rPr>
      <t>ボックスにチェックする</t>
    </r>
    <rPh sb="9" eb="13">
      <t>ビヒンケンサク</t>
    </rPh>
    <phoneticPr fontId="10"/>
  </si>
  <si>
    <t>ラジオボタン</t>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</si>
  <si>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ラジオボタンを押下</t>
    </r>
    <rPh sb="9" eb="13">
      <t>ビヒンケンサク</t>
    </rPh>
    <rPh sb="29" eb="31">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</si>
  <si>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ボタンを押下する</t>
    </r>
    <rPh sb="9" eb="13">
      <t>ビヒンケンサク</t>
    </rPh>
    <rPh sb="26" eb="28">
      <t>オウカ</t>
    </rPh>
    <phoneticPr fontId="10"/>
  </si>
  <si>
    <r>
      <rPr>
        <sz val="10"/>
        <color theme="1"/>
        <rFont val="ＭＳ ゴシック"/>
        <family val="3"/>
        <charset val="128"/>
      </rPr>
      <t>画面上に項目が存在すること、レイアウトの崩れがないこと
項目の重なりがないこと</t>
    </r>
    <r>
      <rPr>
        <sz val="10"/>
        <color theme="1"/>
        <rFont val="Arial"/>
        <family val="3"/>
        <charset val="128"/>
        <scheme val="minor"/>
      </rPr>
      <t xml:space="preserve">
一覧表示されること</t>
    </r>
    <rPh sb="40" eb="44">
      <t>イチランヒョウジ</t>
    </rPh>
    <phoneticPr fontId="10"/>
  </si>
  <si>
    <t>画面上に項目が存在すること、レイアウトの崩れがないこと
項目の重なりがないこと
ホーム画面に遷移すること</t>
    <rPh sb="43" eb="45">
      <t>ガメン</t>
    </rPh>
    <rPh sb="46" eb="48">
      <t>センイ</t>
    </rPh>
    <phoneticPr fontId="10"/>
  </si>
  <si>
    <t>「IDは全て数字で入力してください」と表示されること</t>
    <rPh sb="19" eb="21">
      <t>ヒョウジ</t>
    </rPh>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</si>
  <si>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数字
</t>
    </r>
    <r>
      <rPr>
        <sz val="10"/>
        <color theme="1"/>
        <rFont val="Arial"/>
        <family val="3"/>
      </rPr>
      <t>15</t>
    </r>
    <phoneticPr fontId="10"/>
  </si>
  <si>
    <t>IDが15の備品が登録されていること</t>
    <rPh sb="6" eb="8">
      <t>ビヒン</t>
    </rPh>
    <rPh sb="9" eb="11">
      <t>トウロク</t>
    </rPh>
    <phoneticPr fontId="10"/>
  </si>
  <si>
    <t>IDが15の備品が検索結果に表示されること</t>
    <rPh sb="6" eb="8">
      <t>ビヒン</t>
    </rPh>
    <rPh sb="9" eb="13">
      <t>ケンサクケッカ</t>
    </rPh>
    <rPh sb="14" eb="16">
      <t>ヒョウジ</t>
    </rPh>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</si>
  <si>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数字
１５</t>
    </r>
    <phoneticPr fontId="10"/>
  </si>
  <si>
    <t>備品名</t>
    <rPh sb="0" eb="3">
      <t>ビヒンメイ</t>
    </rPh>
    <phoneticPr fontId="10"/>
  </si>
  <si>
    <t>使用回数</t>
    <rPh sb="0" eb="4">
      <t>シヨウカイスウ</t>
    </rPh>
    <phoneticPr fontId="10"/>
  </si>
  <si>
    <r>
      <rPr>
        <sz val="10"/>
        <color theme="1"/>
        <rFont val="Segoe UI Symbol"/>
        <family val="2"/>
      </rPr>
      <t>■</t>
    </r>
    <r>
      <rPr>
        <sz val="10"/>
        <color theme="1"/>
        <rFont val="ＭＳ ゴシック"/>
        <family val="3"/>
        <charset val="128"/>
      </rPr>
      <t>半角</t>
    </r>
    <r>
      <rPr>
        <sz val="10"/>
        <color theme="1"/>
        <rFont val="Arial"/>
        <family val="2"/>
        <scheme val="minor"/>
      </rPr>
      <t xml:space="preserve">        
</t>
    </r>
    <r>
      <rPr>
        <sz val="10"/>
        <color theme="1"/>
        <rFont val="ＭＳ ゴシック"/>
        <family val="3"/>
        <charset val="128"/>
      </rPr>
      <t xml:space="preserve">数字
</t>
    </r>
    <r>
      <rPr>
        <sz val="10"/>
        <color theme="1"/>
        <rFont val="Arial"/>
        <family val="3"/>
      </rPr>
      <t>1</t>
    </r>
    <phoneticPr fontId="10"/>
  </si>
  <si>
    <t>使用回数が１回の備品が登録されていること</t>
    <rPh sb="0" eb="4">
      <t>シヨウカイスウ</t>
    </rPh>
    <rPh sb="6" eb="7">
      <t>カイ</t>
    </rPh>
    <rPh sb="8" eb="10">
      <t>ビヒン</t>
    </rPh>
    <rPh sb="11" eb="13">
      <t>トウロク</t>
    </rPh>
    <phoneticPr fontId="10"/>
  </si>
  <si>
    <r>
      <rPr>
        <sz val="10"/>
        <color theme="1"/>
        <rFont val="Segoe UI Symbol"/>
        <family val="2"/>
      </rPr>
      <t>■</t>
    </r>
    <r>
      <rPr>
        <sz val="10"/>
        <color theme="1"/>
        <rFont val="ＭＳ ゴシック"/>
        <family val="3"/>
        <charset val="128"/>
      </rPr>
      <t>全角</t>
    </r>
    <r>
      <rPr>
        <sz val="10"/>
        <color theme="1"/>
        <rFont val="Arial"/>
        <family val="2"/>
        <scheme val="minor"/>
      </rPr>
      <t xml:space="preserve">        
</t>
    </r>
    <r>
      <rPr>
        <sz val="10"/>
        <color theme="1"/>
        <rFont val="ＭＳ ゴシック"/>
        <family val="3"/>
        <charset val="128"/>
      </rPr>
      <t>数字
１</t>
    </r>
    <phoneticPr fontId="10"/>
  </si>
  <si>
    <t>「使用回数は全て数字で入力してください」と表示されること</t>
    <rPh sb="21" eb="23">
      <t>ヒョウジ</t>
    </rPh>
    <phoneticPr fontId="10"/>
  </si>
  <si>
    <t>対象の備品が検索結果に表示されること</t>
    <rPh sb="0" eb="2">
      <t>タイショウ</t>
    </rPh>
    <rPh sb="3" eb="5">
      <t>ビヒン</t>
    </rPh>
    <rPh sb="6" eb="8">
      <t>ケンサク</t>
    </rPh>
    <rPh sb="8" eb="10">
      <t>ケッカ</t>
    </rPh>
    <rPh sb="11" eb="13">
      <t>ヒョウジ</t>
    </rPh>
    <phoneticPr fontId="10"/>
  </si>
  <si>
    <r>
      <rPr>
        <sz val="10"/>
        <color theme="1"/>
        <rFont val="Arial"/>
        <family val="3"/>
      </rPr>
      <t>ID</t>
    </r>
    <r>
      <rPr>
        <sz val="10"/>
        <color theme="1"/>
        <rFont val="ＭＳ ゴシック"/>
        <family val="3"/>
        <charset val="128"/>
      </rPr>
      <t>は３桁までなのでその範囲で入力できること</t>
    </r>
    <rPh sb="4" eb="5">
      <t>ケタ</t>
    </rPh>
    <rPh sb="12" eb="14">
      <t>ハンイ</t>
    </rPh>
    <rPh sb="15" eb="17">
      <t>ニュウリョク</t>
    </rPh>
    <phoneticPr fontId="10"/>
  </si>
  <si>
    <t>「該当する備品がありませんでした」と表示されること</t>
    <rPh sb="18" eb="20">
      <t>ヒョウジ</t>
    </rPh>
    <phoneticPr fontId="10"/>
  </si>
  <si>
    <t>「IDは3桁以内で入力してください」と表示されること</t>
    <rPh sb="19" eb="21">
      <t>ヒョウジ</t>
    </rPh>
    <phoneticPr fontId="10"/>
  </si>
  <si>
    <t>備品名はは30文字までなのでその範囲で入力できること</t>
    <rPh sb="0" eb="2">
      <t>ビヒン</t>
    </rPh>
    <rPh sb="2" eb="3">
      <t>メイ</t>
    </rPh>
    <rPh sb="7" eb="9">
      <t>モジ</t>
    </rPh>
    <rPh sb="16" eb="18">
      <t>ハンイ</t>
    </rPh>
    <rPh sb="19" eb="21">
      <t>ニュウリョク</t>
    </rPh>
    <phoneticPr fontId="10"/>
  </si>
  <si>
    <t>あいうえおかきくけこさしすせそたちつてとあいうえおかきくけ</t>
    <phoneticPr fontId="10"/>
  </si>
  <si>
    <t>あいうえおかきくけこさしすせそたちつてとあいうえおかきくけこ</t>
    <phoneticPr fontId="10"/>
  </si>
  <si>
    <t>あいうえおかきくけこさしすせそたちつてとあいうえおかきくけこあ</t>
    <phoneticPr fontId="10"/>
  </si>
  <si>
    <t>「IDは30文字以内で入力してください」と表示されること</t>
    <rPh sb="6" eb="8">
      <t>モジ</t>
    </rPh>
    <rPh sb="21" eb="23">
      <t>ヒョウジ</t>
    </rPh>
    <phoneticPr fontId="10"/>
  </si>
  <si>
    <t>使用回数は３桁までなのでその範囲で入力できること</t>
    <rPh sb="0" eb="4">
      <t>シヨウカイスウ</t>
    </rPh>
    <rPh sb="6" eb="7">
      <t>ケタ</t>
    </rPh>
    <rPh sb="14" eb="16">
      <t>ハンイ</t>
    </rPh>
    <rPh sb="17" eb="19">
      <t>ニュウリョク</t>
    </rPh>
    <phoneticPr fontId="10"/>
  </si>
  <si>
    <t>「使用回数は3桁以内で入力してください」と表示されること</t>
    <rPh sb="1" eb="5">
      <t>シヨウカイスウ</t>
    </rPh>
    <rPh sb="21" eb="23">
      <t>ヒョウジ</t>
    </rPh>
    <phoneticPr fontId="10"/>
  </si>
  <si>
    <t>複数エラーの表示</t>
    <rPh sb="0" eb="2">
      <t>フクスウ</t>
    </rPh>
    <rPh sb="6" eb="8">
      <t>ヒョウジ</t>
    </rPh>
    <phoneticPr fontId="10"/>
  </si>
  <si>
    <t>IDは3桁までかつすべて数字でなければならないこと
備品名は30文字以内でなければならないこと
使用回数は3桁までかつすべて数字でなければならないこと</t>
    <rPh sb="4" eb="5">
      <t>ケタ</t>
    </rPh>
    <rPh sb="12" eb="14">
      <t>スウジ</t>
    </rPh>
    <rPh sb="26" eb="29">
      <t>ビヒンメイ</t>
    </rPh>
    <rPh sb="32" eb="36">
      <t>モジイナイ</t>
    </rPh>
    <rPh sb="48" eb="52">
      <t>シヨウカイスウ</t>
    </rPh>
    <phoneticPr fontId="10"/>
  </si>
  <si>
    <t>使用回数
備品名
使用回数</t>
    <rPh sb="0" eb="4">
      <t>シヨウカイスウ</t>
    </rPh>
    <rPh sb="5" eb="8">
      <t>ビヒンメイ</t>
    </rPh>
    <rPh sb="9" eb="11">
      <t>シヨウ</t>
    </rPh>
    <rPh sb="11" eb="13">
      <t>カイスウ</t>
    </rPh>
    <phoneticPr fontId="10"/>
  </si>
  <si>
    <r>
      <t xml:space="preserve">999
</t>
    </r>
    <r>
      <rPr>
        <sz val="10"/>
        <color rgb="FF000000"/>
        <rFont val="ＭＳ ゴシック"/>
        <family val="3"/>
        <charset val="128"/>
      </rPr>
      <t xml:space="preserve">あいうえおかきくけこさしすせそたちつてとあいうえおかきくけこ
</t>
    </r>
    <r>
      <rPr>
        <sz val="10"/>
        <color rgb="FF000000"/>
        <rFont val="Arial"/>
        <family val="2"/>
        <scheme val="minor"/>
      </rPr>
      <t>999</t>
    </r>
    <phoneticPr fontId="10"/>
  </si>
  <si>
    <t>「IDは3桁以内で入力してください
IDは全て数字で入力してください
備品名は30文字以内で入力してください
使用回数は3桁以内で入力してください
使用回数は全て数字で入力してください」と表示されること</t>
    <rPh sb="94" eb="96">
      <t>ヒョウジ</t>
    </rPh>
    <phoneticPr fontId="10"/>
  </si>
  <si>
    <t>使用回数とラジオボタンの連動</t>
    <rPh sb="0" eb="4">
      <t>シヨウカイスウ</t>
    </rPh>
    <rPh sb="12" eb="14">
      <t>レンドウ</t>
    </rPh>
    <phoneticPr fontId="10"/>
  </si>
  <si>
    <t>使用回数とラジオボタンは両方入力されていないといけないこと</t>
    <rPh sb="0" eb="4">
      <t>シヨウカイスウ</t>
    </rPh>
    <rPh sb="12" eb="14">
      <t>リョウホウ</t>
    </rPh>
    <rPh sb="14" eb="16">
      <t>ニュウリョク</t>
    </rPh>
    <phoneticPr fontId="10"/>
  </si>
  <si>
    <t>使用回数
使用回数ラジオボタン</t>
    <rPh sb="0" eb="4">
      <t>シヨウカイスウ</t>
    </rPh>
    <rPh sb="5" eb="9">
      <t>シヨウカイスウ</t>
    </rPh>
    <phoneticPr fontId="10"/>
  </si>
  <si>
    <t>テキストボックス
ラジオボタン</t>
    <phoneticPr fontId="10"/>
  </si>
  <si>
    <t>「「以上」か「以下」か選んでください」と表示されること</t>
    <rPh sb="20" eb="22">
      <t>ヒョウジ</t>
    </rPh>
    <phoneticPr fontId="10"/>
  </si>
  <si>
    <t>「使用回数を入力してください」と表示されること</t>
    <rPh sb="16" eb="18">
      <t>ヒョウジ</t>
    </rPh>
    <phoneticPr fontId="10"/>
  </si>
  <si>
    <t>入力したものが保持されているか</t>
    <rPh sb="0" eb="2">
      <t>ニュウリョク</t>
    </rPh>
    <rPh sb="7" eb="9">
      <t>ホジ</t>
    </rPh>
    <phoneticPr fontId="10"/>
  </si>
  <si>
    <t>入力し、検索ボタン押下後、入力したものがそのまま保持されるかどうか</t>
    <rPh sb="0" eb="2">
      <t>ニュウリョク</t>
    </rPh>
    <rPh sb="4" eb="6">
      <t>ケンサク</t>
    </rPh>
    <rPh sb="9" eb="12">
      <t>オウカアト</t>
    </rPh>
    <rPh sb="13" eb="15">
      <t>ニュウリョク</t>
    </rPh>
    <rPh sb="24" eb="26">
      <t>ホジ</t>
    </rPh>
    <phoneticPr fontId="10"/>
  </si>
  <si>
    <t>入力したものが保持されていること</t>
    <rPh sb="0" eb="2">
      <t>ニュウリョク</t>
    </rPh>
    <rPh sb="7" eb="9">
      <t>ホジ</t>
    </rPh>
    <phoneticPr fontId="10"/>
  </si>
  <si>
    <t>パソコン</t>
    <phoneticPr fontId="10"/>
  </si>
  <si>
    <t>備品一覧</t>
    <rPh sb="0" eb="4">
      <t>ビヒンイチラン</t>
    </rPh>
    <phoneticPr fontId="10"/>
  </si>
  <si>
    <t>テキスト</t>
    <phoneticPr fontId="10"/>
  </si>
  <si>
    <t>DBのテーブル通りに全件一覧表示されること</t>
    <rPh sb="7" eb="8">
      <t>ドオ</t>
    </rPh>
    <rPh sb="10" eb="12">
      <t>ゼンケン</t>
    </rPh>
    <rPh sb="12" eb="16">
      <t>イチランヒョウジ</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</si>
  <si>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3"/>
        <charset val="128"/>
      </rPr>
      <t>テキストボックスに入力値の内容を入力する</t>
    </r>
    <r>
      <rPr>
        <sz val="10"/>
        <color theme="1"/>
        <rFont val="Arial"/>
        <family val="2"/>
        <scheme val="minor"/>
      </rPr>
      <t xml:space="preserve">
</t>
    </r>
    <r>
      <rPr>
        <sz val="10"/>
        <color theme="1"/>
        <rFont val="ＭＳ ゴシック"/>
        <family val="2"/>
        <charset val="128"/>
      </rPr>
      <t>3.検索ボタンを押下する</t>
    </r>
    <rPh sb="9" eb="11">
      <t>ビヒン</t>
    </rPh>
    <rPh sb="11" eb="13">
      <t>ケンサク</t>
    </rPh>
    <rPh sb="45" eb="47">
      <t>ケンサク</t>
    </rPh>
    <rPh sb="51" eb="53">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</si>
  <si>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3"/>
        <charset val="128"/>
      </rPr>
      <t>テキストボックスに入力値の内容を入力する</t>
    </r>
    <r>
      <rPr>
        <sz val="10"/>
        <color theme="1"/>
        <rFont val="Arial"/>
        <family val="2"/>
        <scheme val="minor"/>
      </rPr>
      <t xml:space="preserve">
</t>
    </r>
    <r>
      <rPr>
        <sz val="10"/>
        <color theme="1"/>
        <rFont val="ＭＳ ゴシック"/>
        <family val="2"/>
        <charset val="128"/>
      </rPr>
      <t>3.以上のラジオボタンを押す</t>
    </r>
    <r>
      <rPr>
        <sz val="10"/>
        <color theme="1"/>
        <rFont val="Arial"/>
        <family val="2"/>
        <scheme val="minor"/>
      </rPr>
      <t xml:space="preserve">
</t>
    </r>
    <r>
      <rPr>
        <sz val="10"/>
        <color theme="1"/>
        <rFont val="ＭＳ ゴシック"/>
        <family val="2"/>
        <charset val="128"/>
      </rPr>
      <t>4.検索ボタンを押下する</t>
    </r>
    <rPh sb="9" eb="11">
      <t>ビヒン</t>
    </rPh>
    <rPh sb="11" eb="13">
      <t>ケンサク</t>
    </rPh>
    <rPh sb="45" eb="47">
      <t>イジョウ</t>
    </rPh>
    <rPh sb="55" eb="56">
      <t>オ</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</si>
  <si>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3"/>
        <charset val="128"/>
      </rPr>
      <t xml:space="preserve">テキストボックスに入力値の内容を入力する
</t>
    </r>
    <r>
      <rPr>
        <sz val="10"/>
        <color theme="1"/>
        <rFont val="Arial"/>
        <family val="3"/>
      </rPr>
      <t>3.</t>
    </r>
    <r>
      <rPr>
        <sz val="10"/>
        <color theme="1"/>
        <rFont val="ＭＳ ゴシック"/>
        <family val="3"/>
        <charset val="128"/>
      </rPr>
      <t>以上のラジオボタンを押下する</t>
    </r>
    <r>
      <rPr>
        <sz val="10"/>
        <color theme="1"/>
        <rFont val="Arial"/>
        <family val="2"/>
        <scheme val="minor"/>
      </rPr>
      <t xml:space="preserve">
4</t>
    </r>
    <r>
      <rPr>
        <sz val="10"/>
        <color theme="1"/>
        <rFont val="ＭＳ ゴシック"/>
        <family val="2"/>
        <charset val="128"/>
      </rPr>
      <t>.検索ボタンを押下する</t>
    </r>
    <rPh sb="9" eb="11">
      <t>ビヒン</t>
    </rPh>
    <rPh sb="11" eb="13">
      <t>ケンサク</t>
    </rPh>
    <rPh sb="45" eb="47">
      <t>イジョウ</t>
    </rPh>
    <rPh sb="55" eb="57">
      <t>オウカ</t>
    </rPh>
    <rPh sb="62" eb="64">
      <t>ケンサク</t>
    </rPh>
    <rPh sb="68" eb="70">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</si>
  <si>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それぞれの</t>
    </r>
    <r>
      <rPr>
        <sz val="10"/>
        <color theme="1"/>
        <rFont val="ＭＳ ゴシック"/>
        <family val="3"/>
        <charset val="128"/>
      </rPr>
      <t xml:space="preserve">テキストボックスに入力値の内容を入力する
</t>
    </r>
    <r>
      <rPr>
        <sz val="10"/>
        <color theme="1"/>
        <rFont val="Arial"/>
        <family val="3"/>
      </rPr>
      <t>3.</t>
    </r>
    <r>
      <rPr>
        <sz val="10"/>
        <color theme="1"/>
        <rFont val="ＭＳ ゴシック"/>
        <family val="3"/>
        <charset val="128"/>
      </rPr>
      <t>以上のラジオボタンを押下する</t>
    </r>
    <r>
      <rPr>
        <sz val="10"/>
        <color theme="1"/>
        <rFont val="Arial"/>
        <family val="2"/>
        <scheme val="minor"/>
      </rPr>
      <t xml:space="preserve">
4</t>
    </r>
    <r>
      <rPr>
        <sz val="10"/>
        <color theme="1"/>
        <rFont val="ＭＳ ゴシック"/>
        <family val="2"/>
        <charset val="128"/>
      </rPr>
      <t>.検索ボタンを押下する</t>
    </r>
    <rPh sb="9" eb="11">
      <t>ビヒン</t>
    </rPh>
    <rPh sb="11" eb="13">
      <t>ケンサク</t>
    </rPh>
    <rPh sb="50" eb="52">
      <t>イジョウ</t>
    </rPh>
    <rPh sb="60" eb="62">
      <t>オウカ</t>
    </rPh>
    <rPh sb="67" eb="69">
      <t>ケンサク</t>
    </rPh>
    <rPh sb="73" eb="75">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</si>
  <si>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3"/>
        <charset val="128"/>
      </rPr>
      <t>テキストボックスに入力値の内容を入力する</t>
    </r>
    <r>
      <rPr>
        <sz val="10"/>
        <color theme="1"/>
        <rFont val="Arial"/>
        <family val="2"/>
        <scheme val="minor"/>
      </rPr>
      <t xml:space="preserve">
3</t>
    </r>
    <r>
      <rPr>
        <sz val="10"/>
        <color theme="1"/>
        <rFont val="ＭＳ ゴシック"/>
        <family val="2"/>
        <charset val="128"/>
      </rPr>
      <t>.検索ボタンを押下する</t>
    </r>
    <rPh sb="9" eb="11">
      <t>ビヒン</t>
    </rPh>
    <rPh sb="11" eb="13">
      <t>ケンサク</t>
    </rPh>
    <rPh sb="45" eb="47">
      <t>ケンサク</t>
    </rPh>
    <rPh sb="51" eb="53">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</si>
  <si>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以上のラジオボタンを押下する</t>
    </r>
    <r>
      <rPr>
        <sz val="10"/>
        <color theme="1"/>
        <rFont val="ＭＳ ゴシック"/>
        <family val="3"/>
        <charset val="128"/>
      </rPr>
      <t xml:space="preserve">
</t>
    </r>
    <r>
      <rPr>
        <sz val="10"/>
        <color theme="1"/>
        <rFont val="Arial"/>
        <family val="3"/>
      </rPr>
      <t>3.</t>
    </r>
    <r>
      <rPr>
        <sz val="10"/>
        <color theme="1"/>
        <rFont val="ＭＳ ゴシック"/>
        <family val="3"/>
        <charset val="128"/>
      </rPr>
      <t>検索ボタンを押下する</t>
    </r>
    <rPh sb="9" eb="11">
      <t>ビヒン</t>
    </rPh>
    <rPh sb="11" eb="13">
      <t>ケンサク</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</si>
  <si>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チェックボックスにチェックをいれる</t>
    </r>
    <r>
      <rPr>
        <sz val="10"/>
        <color theme="1"/>
        <rFont val="Arial"/>
        <family val="2"/>
        <scheme val="minor"/>
      </rPr>
      <t xml:space="preserve">
</t>
    </r>
    <r>
      <rPr>
        <sz val="10"/>
        <color theme="1"/>
        <rFont val="ＭＳ ゴシック"/>
        <family val="2"/>
        <charset val="128"/>
      </rPr>
      <t>3.検索ボタンを押下する</t>
    </r>
    <rPh sb="9" eb="11">
      <t>ビヒン</t>
    </rPh>
    <rPh sb="11" eb="13">
      <t>ケンサク</t>
    </rPh>
    <rPh sb="42" eb="44">
      <t>ケンサク</t>
    </rPh>
    <rPh sb="48" eb="50">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</si>
  <si>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チェックボックスにチェックをいれる</t>
    </r>
    <r>
      <rPr>
        <sz val="10"/>
        <color theme="1"/>
        <rFont val="Arial"/>
        <family val="2"/>
        <scheme val="minor"/>
      </rPr>
      <t xml:space="preserve">
3</t>
    </r>
    <r>
      <rPr>
        <sz val="10"/>
        <color theme="1"/>
        <rFont val="ＭＳ ゴシック"/>
        <family val="2"/>
        <charset val="128"/>
      </rPr>
      <t>.検索ボタンを押下する</t>
    </r>
    <rPh sb="9" eb="11">
      <t>ビヒン</t>
    </rPh>
    <rPh sb="11" eb="13">
      <t>ケンサク</t>
    </rPh>
    <rPh sb="42" eb="44">
      <t>ケンサク</t>
    </rPh>
    <rPh sb="48" eb="50">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</si>
  <si>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ラジオボタンを押下する</t>
    </r>
    <r>
      <rPr>
        <sz val="10"/>
        <color theme="1"/>
        <rFont val="Arial"/>
        <family val="2"/>
        <scheme val="minor"/>
      </rPr>
      <t xml:space="preserve">
3</t>
    </r>
    <r>
      <rPr>
        <sz val="10"/>
        <color theme="1"/>
        <rFont val="ＭＳ ゴシック"/>
        <family val="2"/>
        <charset val="128"/>
      </rPr>
      <t>.検索ボタンを押下する</t>
    </r>
    <rPh sb="9" eb="11">
      <t>ビヒン</t>
    </rPh>
    <rPh sb="11" eb="13">
      <t>ケンサク</t>
    </rPh>
    <rPh sb="29" eb="31">
      <t>オウカ</t>
    </rPh>
    <rPh sb="36" eb="38">
      <t>ケンサク</t>
    </rPh>
    <rPh sb="42" eb="44">
      <t>オウカ</t>
    </rPh>
    <phoneticPr fontId="10"/>
  </si>
  <si>
    <r>
      <t>1.</t>
    </r>
    <r>
      <rPr>
        <sz val="10"/>
        <color theme="1"/>
        <rFont val="ＭＳ ゴシック"/>
        <family val="3"/>
        <charset val="128"/>
      </rPr>
      <t>起動経路から「備品検索」画面を開く</t>
    </r>
    <r>
      <rPr>
        <sz val="10"/>
        <color theme="1"/>
        <rFont val="Arial"/>
        <family val="2"/>
        <scheme val="minor"/>
      </rPr>
      <t xml:space="preserve">
2.</t>
    </r>
    <r>
      <rPr>
        <sz val="10"/>
        <color theme="1"/>
        <rFont val="ＭＳ ゴシック"/>
        <family val="2"/>
        <charset val="128"/>
      </rPr>
      <t>検索ボタンを押下する</t>
    </r>
    <rPh sb="9" eb="11">
      <t>ビヒン</t>
    </rPh>
    <rPh sb="11" eb="13">
      <t>ケンサク</t>
    </rPh>
    <rPh sb="22" eb="24">
      <t>ケンサク</t>
    </rPh>
    <rPh sb="28" eb="30">
      <t>オウカ</t>
    </rPh>
    <phoneticPr fontId="10"/>
  </si>
  <si>
    <r>
      <t>1.</t>
    </r>
    <r>
      <rPr>
        <sz val="10"/>
        <color theme="1"/>
        <rFont val="ＭＳ ゴシック"/>
        <family val="3"/>
        <charset val="128"/>
      </rPr>
      <t xml:space="preserve">起動経路から「備品検索」画面を開く
</t>
    </r>
    <r>
      <rPr>
        <sz val="10"/>
        <color theme="1"/>
        <rFont val="Arial"/>
        <family val="2"/>
        <scheme val="minor"/>
      </rPr>
      <t>2.</t>
    </r>
    <r>
      <rPr>
        <sz val="10"/>
        <color theme="1"/>
        <rFont val="ＭＳ ゴシック"/>
        <family val="2"/>
        <charset val="128"/>
      </rPr>
      <t>検索ボタンを押下</t>
    </r>
    <rPh sb="9" eb="11">
      <t>ビヒン</t>
    </rPh>
    <rPh sb="11" eb="13">
      <t>ケンサク</t>
    </rPh>
    <rPh sb="22" eb="24">
      <t>ケンサク</t>
    </rPh>
    <rPh sb="28" eb="30">
      <t>オウカ</t>
    </rPh>
    <phoneticPr fontId="10"/>
  </si>
  <si>
    <t>ダイアログ</t>
    <phoneticPr fontId="10"/>
  </si>
  <si>
    <t>No.1</t>
    <phoneticPr fontId="10"/>
  </si>
  <si>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</si>
  <si>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</si>
  <si>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</si>
  <si>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</si>
  <si>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</si>
  <si>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</si>
  <si>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</si>
  <si>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</si>
  <si>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</si>
  <si>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</si>
  <si>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</si>
  <si>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</si>
  <si>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</si>
  <si>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</si>
  <si>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</si>
  <si>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</si>
  <si>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</si>
  <si>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</si>
  <si>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</si>
  <si>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</si>
  <si>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</si>
  <si>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</si>
  <si>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</si>
  <si>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r>
      <rPr>
        <sz val="10"/>
        <color theme="1"/>
        <rFont val="Segoe UI Symbol"/>
        <family val="2"/>
      </rPr>
      <t>■</t>
    </r>
    <r>
      <rPr>
        <sz val="10"/>
        <color theme="1"/>
        <rFont val="ＭＳ Ｐゴシック"/>
        <family val="2"/>
        <charset val="128"/>
      </rPr>
      <t>半角</t>
    </r>
    <r>
      <rPr>
        <sz val="10"/>
        <color theme="1"/>
        <rFont val="ＭＳ ゴシック"/>
        <family val="3"/>
        <charset val="128"/>
      </rPr>
      <t>混合</t>
    </r>
    <r>
      <rPr>
        <sz val="10"/>
        <color theme="1"/>
        <rFont val="Arial"/>
        <family val="2"/>
        <scheme val="minor"/>
      </rPr>
      <t xml:space="preserve">
Aa1</t>
    </r>
    <rPh sb="1" eb="3">
      <t>ハンカク</t>
    </rPh>
    <rPh sb="3" eb="5">
      <t>コンゴウ</t>
    </rPh>
    <phoneticPr fontId="10"/>
  </si>
  <si>
    <r>
      <rPr>
        <sz val="10"/>
        <color theme="1"/>
        <rFont val="Segoe UI Symbol"/>
        <family val="2"/>
      </rPr>
      <t>■</t>
    </r>
    <r>
      <rPr>
        <sz val="10"/>
        <color theme="1"/>
        <rFont val="ＭＳ Ｐゴシック"/>
        <family val="2"/>
        <charset val="128"/>
      </rPr>
      <t>全角</t>
    </r>
    <r>
      <rPr>
        <sz val="10"/>
        <color theme="1"/>
        <rFont val="ＭＳ ゴシック"/>
        <family val="3"/>
        <charset val="128"/>
      </rPr>
      <t>混合</t>
    </r>
    <r>
      <rPr>
        <sz val="10"/>
        <color theme="1"/>
        <rFont val="Arial"/>
        <family val="2"/>
        <scheme val="minor"/>
      </rPr>
      <t xml:space="preserve">
</t>
    </r>
    <r>
      <rPr>
        <sz val="10"/>
        <color theme="1"/>
        <rFont val="ＭＳ ゴシック"/>
        <family val="3"/>
        <charset val="128"/>
      </rPr>
      <t>Ａａ１</t>
    </r>
    <rPh sb="1" eb="3">
      <t>ゼンカク</t>
    </rPh>
    <rPh sb="3" eb="5">
      <t>コンゴウ</t>
    </rPh>
    <phoneticPr fontId="10"/>
  </si>
  <si>
    <r>
      <rPr>
        <sz val="10"/>
        <color theme="1"/>
        <rFont val="Segoe UI Symbol"/>
        <family val="2"/>
      </rPr>
      <t>■</t>
    </r>
    <r>
      <rPr>
        <sz val="10"/>
        <color theme="1"/>
        <rFont val="ＭＳ Ｐゴシック"/>
        <family val="2"/>
        <charset val="128"/>
      </rPr>
      <t>半角全角</t>
    </r>
    <r>
      <rPr>
        <sz val="10"/>
        <color theme="1"/>
        <rFont val="ＭＳ ゴシック"/>
        <family val="3"/>
        <charset val="128"/>
      </rPr>
      <t>混合</t>
    </r>
    <r>
      <rPr>
        <sz val="10"/>
        <color theme="1"/>
        <rFont val="Arial"/>
        <family val="2"/>
        <scheme val="minor"/>
      </rPr>
      <t xml:space="preserve">
</t>
    </r>
    <r>
      <rPr>
        <sz val="10"/>
        <color theme="1"/>
        <rFont val="Arial"/>
        <family val="3"/>
      </rPr>
      <t>Aa</t>
    </r>
    <r>
      <rPr>
        <sz val="10"/>
        <color theme="1"/>
        <rFont val="ＭＳ ゴシック"/>
        <family val="3"/>
        <charset val="128"/>
      </rPr>
      <t>Ａ</t>
    </r>
    <rPh sb="1" eb="3">
      <t>ハンカク</t>
    </rPh>
    <rPh sb="3" eb="5">
      <t>ゼンカク</t>
    </rPh>
    <rPh sb="5" eb="7">
      <t>コンゴウ</t>
    </rPh>
    <phoneticPr fontId="10"/>
  </si>
  <si>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</si>
  <si>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</si>
  <si>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</si>
  <si>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</si>
  <si>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</si>
  <si>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</si>
  <si>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</si>
  <si>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</si>
  <si>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</si>
  <si>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</si>
  <si>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</si>
  <si>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</si>
  <si>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</si>
  <si>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</si>
  <si>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</si>
  <si>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</si>
  <si>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</si>
  <si>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</si>
  <si>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</si>
  <si>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</si>
  <si>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</si>
  <si>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</si>
  <si>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</si>
  <si>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</si>
  <si>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</si>
  <si>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</si>
  <si>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</si>
  <si>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</si>
  <si>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</si>
  <si>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</si>
  <si>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部分検索</t>
    <rPh sb="0" eb="4">
      <t>ブブンケンサク</t>
    </rPh>
    <phoneticPr fontId="10"/>
  </si>
  <si>
    <t>備品名で部分検索ができているかどうか</t>
    <rPh sb="0" eb="3">
      <t>ビヒンメイ</t>
    </rPh>
    <rPh sb="4" eb="8">
      <t>ブブンケンサク</t>
    </rPh>
    <phoneticPr fontId="10"/>
  </si>
  <si>
    <t>備品名</t>
    <rPh sb="0" eb="3">
      <t>ビヒンメイ</t>
    </rPh>
    <phoneticPr fontId="10"/>
  </si>
  <si>
    <t>テキストボックス</t>
    <phoneticPr fontId="10"/>
  </si>
  <si>
    <r>
      <t>1.</t>
    </r>
    <r>
      <rPr>
        <sz val="10"/>
        <color theme="1"/>
        <rFont val="ＭＳ ゴシック"/>
        <family val="2"/>
        <charset val="128"/>
      </rPr>
      <t>起動経路から「備品検索」画面を開く</t>
    </r>
    <r>
      <rPr>
        <sz val="10"/>
        <color theme="1"/>
        <rFont val="Arial"/>
        <family val="2"/>
        <scheme val="minor"/>
      </rPr>
      <t xml:space="preserve">
2.</t>
    </r>
    <r>
      <rPr>
        <sz val="10"/>
        <color theme="1"/>
        <rFont val="ＭＳ ゴシック"/>
        <family val="2"/>
        <charset val="128"/>
      </rPr>
      <t>テキストボックスに入力値の内容を入力する</t>
    </r>
    <r>
      <rPr>
        <sz val="10"/>
        <color theme="1"/>
        <rFont val="Arial"/>
        <family val="2"/>
        <scheme val="minor"/>
      </rPr>
      <t xml:space="preserve">
3.</t>
    </r>
    <r>
      <rPr>
        <sz val="10"/>
        <color theme="1"/>
        <rFont val="ＭＳ ゴシック"/>
        <family val="2"/>
        <charset val="128"/>
      </rPr>
      <t>検索ボタンを押下する</t>
    </r>
    <phoneticPr fontId="10"/>
  </si>
  <si>
    <t>用</t>
    <rPh sb="0" eb="1">
      <t>ヨウ</t>
    </rPh>
    <phoneticPr fontId="10"/>
  </si>
  <si>
    <t>社用携帯、という備品が登録されている</t>
    <rPh sb="0" eb="4">
      <t>シャヨウケイタイ</t>
    </rPh>
    <rPh sb="8" eb="10">
      <t>ビヒン</t>
    </rPh>
    <rPh sb="11" eb="13">
      <t>トウロク</t>
    </rPh>
    <phoneticPr fontId="10"/>
  </si>
  <si>
    <t>複数条件での検索</t>
    <rPh sb="0" eb="4">
      <t>フクスウジョウケン</t>
    </rPh>
    <rPh sb="6" eb="8">
      <t>ケンサク</t>
    </rPh>
    <phoneticPr fontId="10"/>
  </si>
  <si>
    <t>条件を複数入力して、検索で来るか</t>
    <rPh sb="0" eb="2">
      <t>ジョウケン</t>
    </rPh>
    <rPh sb="3" eb="5">
      <t>フクスウ</t>
    </rPh>
    <rPh sb="5" eb="7">
      <t>ニュウリョク</t>
    </rPh>
    <rPh sb="10" eb="12">
      <t>ケンサク</t>
    </rPh>
    <rPh sb="13" eb="14">
      <t>ク</t>
    </rPh>
    <phoneticPr fontId="10"/>
  </si>
  <si>
    <t>メッセージ</t>
    <phoneticPr fontId="10"/>
  </si>
  <si>
    <t>ID
備品名
貸出可能
使用回数
以下</t>
    <rPh sb="3" eb="6">
      <t>ビヒンメイ</t>
    </rPh>
    <rPh sb="7" eb="11">
      <t>カシダシカノウ</t>
    </rPh>
    <rPh sb="12" eb="16">
      <t>シヨウカイスウ</t>
    </rPh>
    <rPh sb="17" eb="19">
      <t>イカ</t>
    </rPh>
    <phoneticPr fontId="10"/>
  </si>
  <si>
    <t>テキストボックス
テキストボックス
チェックボックス
テキストボックス
ラジオボタン</t>
    <phoneticPr fontId="10"/>
  </si>
  <si>
    <t>IDが15、備品名ノートPC、貸出可能、使用回数2回が登録されていること</t>
    <rPh sb="6" eb="8">
      <t>ビヒン</t>
    </rPh>
    <rPh sb="8" eb="9">
      <t>メイ</t>
    </rPh>
    <rPh sb="15" eb="19">
      <t>カシダシカノウ</t>
    </rPh>
    <rPh sb="20" eb="24">
      <t>シヨウカイスウ</t>
    </rPh>
    <rPh sb="25" eb="26">
      <t>カイ</t>
    </rPh>
    <rPh sb="27" eb="29">
      <t>トウロク</t>
    </rPh>
    <phoneticPr fontId="10"/>
  </si>
  <si>
    <r>
      <t>1.</t>
    </r>
    <r>
      <rPr>
        <sz val="10"/>
        <color theme="1"/>
        <rFont val="ＭＳ ゴシック"/>
        <family val="2"/>
        <charset val="128"/>
      </rPr>
      <t>起動経路から「備品検索」画面を開く</t>
    </r>
    <r>
      <rPr>
        <sz val="10"/>
        <color theme="1"/>
        <rFont val="Arial"/>
        <family val="2"/>
        <scheme val="minor"/>
      </rPr>
      <t xml:space="preserve">
2.</t>
    </r>
    <r>
      <rPr>
        <sz val="10"/>
        <color theme="1"/>
        <rFont val="ＭＳ ゴシック"/>
        <family val="2"/>
        <charset val="128"/>
      </rPr>
      <t>テキストボックスに入力値の内容を入力する。チェックボックス、ラジオボタンも押下する。</t>
    </r>
    <r>
      <rPr>
        <sz val="10"/>
        <color theme="1"/>
        <rFont val="Arial"/>
        <family val="2"/>
        <scheme val="minor"/>
      </rPr>
      <t xml:space="preserve">
3.</t>
    </r>
    <r>
      <rPr>
        <sz val="10"/>
        <color theme="1"/>
        <rFont val="ＭＳ ゴシック"/>
        <family val="2"/>
        <charset val="128"/>
      </rPr>
      <t>検索ボタンを押下する</t>
    </r>
    <rPh sb="59" eb="61">
      <t>オウカ</t>
    </rPh>
    <phoneticPr fontId="10"/>
  </si>
  <si>
    <t xml:space="preserve">
15
ノートPC
2</t>
    <phoneticPr fontId="10"/>
  </si>
  <si>
    <t>対象の備品が一覧に表示されること</t>
    <rPh sb="0" eb="2">
      <t>タイショウ</t>
    </rPh>
    <rPh sb="3" eb="5">
      <t>ビヒン</t>
    </rPh>
    <rPh sb="6" eb="8">
      <t>イチラン</t>
    </rPh>
    <rPh sb="9" eb="11">
      <t>ヒョウジ</t>
    </rPh>
    <phoneticPr fontId="10"/>
  </si>
  <si>
    <t>社用携帯が一覧に表示されること</t>
    <rPh sb="0" eb="4">
      <t>シャヨウケイタイ</t>
    </rPh>
    <rPh sb="5" eb="7">
      <t>イチラン</t>
    </rPh>
    <rPh sb="8" eb="10">
      <t>ヒョウジ</t>
    </rPh>
    <phoneticPr fontId="10"/>
  </si>
  <si>
    <t>No.55</t>
  </si>
  <si>
    <t>No.56</t>
  </si>
  <si>
    <t>No.57</t>
  </si>
  <si>
    <t>No.58</t>
  </si>
  <si>
    <t>No.59</t>
  </si>
  <si>
    <t>No.60</t>
  </si>
  <si>
    <t>No.61</t>
  </si>
  <si>
    <t>No.62</t>
  </si>
  <si>
    <t>No.63</t>
  </si>
  <si>
    <r>
      <t xml:space="preserve">999a
</t>
    </r>
    <r>
      <rPr>
        <sz val="10"/>
        <color theme="1"/>
        <rFont val="ＭＳ ゴシック"/>
        <family val="3"/>
        <charset val="128"/>
      </rPr>
      <t xml:space="preserve">あいうえおかきくけこさしすせそたちつてとあいうえおかきくけこあ
</t>
    </r>
    <r>
      <rPr>
        <sz val="10"/>
        <color theme="1"/>
        <rFont val="Arial"/>
        <family val="2"/>
        <scheme val="minor"/>
      </rPr>
      <t>999a</t>
    </r>
    <phoneticPr fontId="10"/>
  </si>
  <si>
    <t>No.64</t>
  </si>
  <si>
    <t>No.65</t>
  </si>
  <si>
    <t>No.66</t>
  </si>
  <si>
    <t>No.67</t>
  </si>
  <si>
    <t>No.68</t>
  </si>
  <si>
    <t>No.69</t>
  </si>
  <si>
    <t>No.70</t>
  </si>
  <si>
    <t>No.71</t>
  </si>
  <si>
    <t>No.72</t>
  </si>
  <si>
    <t>No.73</t>
  </si>
  <si>
    <t>No.74</t>
  </si>
  <si>
    <t>No.75</t>
  </si>
  <si>
    <t>No.76</t>
  </si>
  <si>
    <t>No.77</t>
  </si>
  <si>
    <t>No.78</t>
  </si>
  <si>
    <t>No.79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</si>
</sst>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4" x14ac:knownFonts="1">
    <font>
      <sz val="10"/>
      <color rgb="FF000000"/>
      <name val="Arial"/>
      <scheme val="minor"/>
    </font>
    <font>
      <sz val="11"/>
      <color rgb="FFFFFFFF"/>
      <name val="Arial"/>
      <family val="2"/>
    </font>
    <font>
      <sz val="10"/>
      <name val="Arial"/>
      <family val="2"/>
    </font>
    <font>
      <sz val="11"/>
      <color theme="1"/>
      <name val="Arial"/>
      <family val="2"/>
    </font>
    <font>
      <sz val="10"/>
      <color rgb="FFFFFFFF"/>
      <name val="Arial"/>
      <family val="2"/>
    </font>
    <font>
      <sz val="10"/>
      <color theme="1"/>
      <name val="Arial"/>
      <family val="2"/>
    </font>
    <font>
      <sz val="10"/>
      <color theme="1"/>
      <name val="Arial"/>
      <family val="2"/>
      <scheme val="minor"/>
    </font>
    <font>
      <sz val="10"/>
      <color rgb="FFFFFFFF"/>
      <name val="Arial"/>
      <family val="2"/>
      <scheme val="minor"/>
    </font>
    <font>
      <sz val="10"/>
      <color theme="1"/>
      <name val="Arial"/>
      <family val="2"/>
      <scheme val="minor"/>
    </font>
    <font>
      <sz val="11"/>
      <color theme="1"/>
      <name val="Arial"/>
      <family val="2"/>
      <scheme val="minor"/>
    </font>
    <font>
      <sz val="6"/>
      <name val="Arial"/>
      <family val="3"/>
      <charset val="128"/>
      <scheme val="minor"/>
    </font>
    <font>
      <sz val="10"/>
      <color theme="1"/>
      <name val="ＭＳ ゴシック"/>
      <family val="3"/>
      <charset val="128"/>
    </font>
    <font>
      <sz val="10"/>
      <color theme="1"/>
      <name val="ＭＳ ゴシック"/>
      <family val="2"/>
      <charset val="128"/>
    </font>
    <font>
      <sz val="10"/>
      <color theme="1"/>
      <name val="Arial"/>
      <family val="3"/>
      <charset val="128"/>
      <scheme val="minor"/>
    </font>
    <font>
      <sz val="10"/>
      <color theme="1"/>
      <name val="Arial"/>
      <family val="3"/>
    </font>
    <font>
      <sz val="10"/>
      <color theme="1"/>
      <name val="ＭＳ Ｐゴシック"/>
      <family val="3"/>
      <charset val="128"/>
    </font>
    <font>
      <sz val="10"/>
      <color theme="1"/>
      <name val="ＭＳ Ｐゴシック"/>
      <family val="2"/>
      <charset val="128"/>
    </font>
    <font>
      <sz val="11"/>
      <color theme="1"/>
      <name val="ＭＳ ゴシック"/>
      <family val="3"/>
      <charset val="128"/>
    </font>
    <font>
      <sz val="11"/>
      <color theme="1"/>
      <name val="游ゴシック"/>
      <family val="2"/>
      <charset val="128"/>
    </font>
    <font>
      <sz val="11"/>
      <color theme="1"/>
      <name val="Arial"/>
      <family val="3"/>
      <charset val="128"/>
    </font>
    <font>
      <sz val="10"/>
      <color theme="1"/>
      <name val="Segoe UI Symbol"/>
      <family val="2"/>
    </font>
    <font>
      <sz val="10"/>
      <color theme="1"/>
      <name val="Arial"/>
      <family val="3"/>
      <charset val="128"/>
    </font>
    <font>
      <sz val="10"/>
      <color rgb="FF000000"/>
      <name val="Arial"/>
      <family val="2"/>
      <scheme val="minor"/>
    </font>
    <font>
      <sz val="10"/>
      <color rgb="FF000000"/>
      <name val="ＭＳ ゴシック"/>
      <family val="3"/>
      <charset val="128"/>
    </font>
  </fonts>
  <fills count="6">
    <fill>
      <patternFill patternType="none"/>
    </fill>
    <fill>
      <patternFill patternType="gray125"/>
    </fill>
    <fill>
      <patternFill patternType="solid">
        <fgColor rgb="FFB7B7B7"/>
        <bgColor rgb="FFB7B7B7"/>
      </patternFill>
    </fill>
    <fill>
      <patternFill patternType="solid">
        <fgColor rgb="FFB45F06"/>
        <bgColor rgb="FFB45F06"/>
      </patternFill>
    </fill>
    <fill>
      <patternFill patternType="solid">
        <fgColor rgb="FF351C75"/>
        <bgColor rgb="FF351C75"/>
      </patternFill>
    </fill>
    <fill>
      <patternFill patternType="solid">
        <fgColor rgb="FF38761D"/>
        <bgColor rgb="FF38761D"/>
      </patternFill>
    </fill>
  </fills>
  <borders count="3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bottom/>
      <diagonal/>
    </border>
    <border>
      <left/>
      <right style="thin">
        <color rgb="FF000000"/>
      </right>
      <top/>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rgb="FF000000"/>
      </top>
      <bottom style="thin">
        <color indexed="64"/>
      </bottom>
      <diagonal/>
    </border>
    <border>
      <left style="thin">
        <color rgb="FF000000"/>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s>
  <cellStyleXfs count="1">
    <xf numFmtId="0" fontId="0" fillId="0" borderId="0"/>
  </cellStyleXfs>
  <cellXfs count="95">
    <xf numFmtId="0" fontId="0" fillId="0" borderId="0" xfId="0"/>
    <xf numFmtId="176" fontId="5" fillId="0" borderId="0" xfId="0" applyNumberFormat="1" applyFont="1" applyAlignment="1">
      <alignment horizontal="center"/>
    </xf>
    <xf numFmtId="0" fontId="5" fillId="0" borderId="0" xfId="0" applyFont="1"/>
    <xf numFmtId="0" fontId="5" fillId="0" borderId="0" xfId="0" applyFont="1" applyAlignment="1">
      <alignment horizontal="center"/>
    </xf>
    <xf numFmtId="0" fontId="6" fillId="0" borderId="0" xfId="0" applyFont="1" applyAlignment="1">
      <alignment wrapText="1"/>
    </xf>
    <xf numFmtId="0" fontId="7" fillId="3" borderId="5" xfId="0" applyFont="1" applyFill="1" applyBorder="1" applyAlignment="1">
      <alignment wrapText="1"/>
    </xf>
    <xf numFmtId="0" fontId="7" fillId="3" borderId="5" xfId="0" applyFont="1" applyFill="1" applyBorder="1"/>
    <xf numFmtId="0" fontId="6" fillId="0" borderId="0" xfId="0" applyFont="1"/>
    <xf numFmtId="0" fontId="6" fillId="0" borderId="5" xfId="0" applyFont="1" applyBorder="1" applyAlignment="1">
      <alignment wrapText="1"/>
    </xf>
    <xf numFmtId="0" fontId="6" fillId="0" borderId="5" xfId="0" applyFont="1" applyBorder="1"/>
    <xf numFmtId="0" fontId="7" fillId="4" borderId="8" xfId="0" applyFont="1" applyFill="1" applyBorder="1"/>
    <xf numFmtId="0" fontId="7" fillId="4" borderId="4" xfId="0" applyFont="1" applyFill="1" applyBorder="1" applyAlignment="1">
      <alignment wrapText="1"/>
    </xf>
    <xf numFmtId="0" fontId="7" fillId="4" borderId="4" xfId="0" applyFont="1" applyFill="1" applyBorder="1"/>
    <xf numFmtId="0" fontId="7" fillId="4" borderId="3" xfId="0" applyFont="1" applyFill="1" applyBorder="1"/>
    <xf numFmtId="0" fontId="7" fillId="5" borderId="8" xfId="0" applyFont="1" applyFill="1" applyBorder="1"/>
    <xf numFmtId="0" fontId="6" fillId="5" borderId="4" xfId="0" applyFont="1" applyFill="1" applyBorder="1"/>
    <xf numFmtId="0" fontId="6" fillId="5" borderId="3" xfId="0" applyFont="1" applyFill="1" applyBorder="1"/>
    <xf numFmtId="0" fontId="7" fillId="4" borderId="5" xfId="0" applyFont="1" applyFill="1" applyBorder="1"/>
    <xf numFmtId="0" fontId="7" fillId="4" borderId="5" xfId="0" applyFont="1" applyFill="1" applyBorder="1" applyAlignment="1">
      <alignment wrapText="1"/>
    </xf>
    <xf numFmtId="0" fontId="7" fillId="5" borderId="5" xfId="0" applyFont="1" applyFill="1" applyBorder="1"/>
    <xf numFmtId="176" fontId="9" fillId="0" borderId="5" xfId="0" applyNumberFormat="1" applyFont="1" applyBorder="1"/>
    <xf numFmtId="0" fontId="9" fillId="0" borderId="5" xfId="0" applyFont="1" applyBorder="1"/>
    <xf numFmtId="0" fontId="5" fillId="0" borderId="5" xfId="0" applyFont="1" applyBorder="1" applyAlignment="1">
      <alignment wrapText="1"/>
    </xf>
    <xf numFmtId="0" fontId="4" fillId="0" borderId="0" xfId="0" applyFont="1"/>
    <xf numFmtId="176" fontId="3" fillId="0" borderId="0" xfId="0" applyNumberFormat="1" applyFont="1" applyAlignment="1">
      <alignment horizontal="center" wrapText="1"/>
    </xf>
    <xf numFmtId="0" fontId="3" fillId="0" borderId="0" xfId="0" applyFont="1" applyAlignment="1">
      <alignment horizontal="center"/>
    </xf>
    <xf numFmtId="0" fontId="4" fillId="2" borderId="4" xfId="0" applyFont="1" applyFill="1" applyBorder="1"/>
    <xf numFmtId="0" fontId="4" fillId="2" borderId="7" xfId="0" applyFont="1" applyFill="1" applyBorder="1"/>
    <xf numFmtId="176" fontId="5" fillId="0" borderId="9" xfId="0" applyNumberFormat="1" applyFont="1" applyBorder="1" applyAlignment="1">
      <alignment horizontal="center" wrapText="1"/>
    </xf>
    <xf numFmtId="0" fontId="16" fillId="0" borderId="9" xfId="0" applyFont="1" applyBorder="1" applyAlignment="1">
      <alignment horizontal="center" wrapText="1"/>
    </xf>
    <xf numFmtId="0" fontId="11" fillId="0" borderId="5" xfId="0" applyFont="1" applyBorder="1" applyAlignment="1">
      <alignment wrapText="1"/>
    </xf>
    <xf numFmtId="0" fontId="16" fillId="0" borderId="5" xfId="0" applyFont="1" applyBorder="1" applyAlignment="1">
      <alignment wrapText="1"/>
    </xf>
    <xf numFmtId="0" fontId="6" fillId="0" borderId="10" xfId="0" applyFont="1" applyBorder="1"/>
    <xf numFmtId="0" fontId="11" fillId="0" borderId="10" xfId="0" applyFont="1" applyBorder="1" applyAlignment="1">
      <alignment wrapText="1"/>
    </xf>
    <xf numFmtId="0" fontId="8" fillId="0" borderId="10" xfId="0" applyFont="1" applyBorder="1" applyAlignment="1">
      <alignment wrapText="1"/>
    </xf>
    <xf numFmtId="0" fontId="13" fillId="0" borderId="10" xfId="0" applyFont="1" applyBorder="1" applyAlignment="1">
      <alignment wrapText="1"/>
    </xf>
    <xf numFmtId="0" fontId="6" fillId="0" borderId="10" xfId="0" applyFont="1" applyBorder="1" applyAlignment="1">
      <alignment wrapText="1"/>
    </xf>
    <xf numFmtId="0" fontId="11" fillId="0" borderId="9" xfId="0" applyFont="1" applyBorder="1" applyAlignment="1">
      <alignment wrapText="1"/>
    </xf>
    <xf numFmtId="0" fontId="6" fillId="0" borderId="9" xfId="0" applyFont="1" applyBorder="1" applyAlignment="1">
      <alignment wrapText="1"/>
    </xf>
    <xf numFmtId="0" fontId="15" fillId="0" borderId="10" xfId="0" applyFont="1" applyBorder="1" applyAlignment="1">
      <alignment wrapText="1"/>
    </xf>
    <xf numFmtId="0" fontId="11" fillId="0" borderId="11" xfId="0" applyFont="1" applyBorder="1" applyAlignment="1">
      <alignment wrapText="1"/>
    </xf>
    <xf numFmtId="0" fontId="8" fillId="0" borderId="11" xfId="0" applyFont="1" applyBorder="1" applyAlignment="1">
      <alignment wrapText="1"/>
    </xf>
    <xf numFmtId="0" fontId="11" fillId="0" borderId="12" xfId="0" applyFont="1" applyBorder="1" applyAlignment="1">
      <alignment wrapText="1"/>
    </xf>
    <xf numFmtId="0" fontId="8" fillId="0" borderId="12" xfId="0" applyFont="1" applyBorder="1" applyAlignment="1">
      <alignment wrapText="1"/>
    </xf>
    <xf numFmtId="0" fontId="15" fillId="0" borderId="11" xfId="0" applyFont="1" applyBorder="1" applyAlignment="1">
      <alignment wrapText="1"/>
    </xf>
    <xf numFmtId="0" fontId="11" fillId="0" borderId="13" xfId="0" applyFont="1" applyBorder="1" applyAlignment="1">
      <alignment wrapText="1"/>
    </xf>
    <xf numFmtId="0" fontId="11" fillId="0" borderId="14" xfId="0" applyFont="1" applyBorder="1" applyAlignment="1">
      <alignment wrapText="1"/>
    </xf>
    <xf numFmtId="0" fontId="6" fillId="0" borderId="11" xfId="0" applyFont="1" applyBorder="1" applyAlignment="1">
      <alignment wrapText="1"/>
    </xf>
    <xf numFmtId="0" fontId="6" fillId="0" borderId="12" xfId="0" applyFont="1" applyBorder="1" applyAlignment="1">
      <alignment wrapText="1"/>
    </xf>
    <xf numFmtId="0" fontId="11" fillId="0" borderId="15" xfId="0" applyFont="1" applyBorder="1" applyAlignment="1">
      <alignment wrapText="1"/>
    </xf>
    <xf numFmtId="0" fontId="13" fillId="0" borderId="11" xfId="0" applyFont="1" applyBorder="1" applyAlignment="1">
      <alignment wrapText="1"/>
    </xf>
    <xf numFmtId="0" fontId="13" fillId="0" borderId="12" xfId="0" applyFont="1" applyBorder="1" applyAlignment="1">
      <alignment wrapText="1"/>
    </xf>
    <xf numFmtId="0" fontId="11" fillId="0" borderId="16" xfId="0" applyFont="1" applyBorder="1" applyAlignment="1">
      <alignment wrapText="1"/>
    </xf>
    <xf numFmtId="0" fontId="15" fillId="0" borderId="12" xfId="0" applyFont="1" applyBorder="1" applyAlignment="1">
      <alignment wrapText="1"/>
    </xf>
    <xf numFmtId="0" fontId="0" fillId="0" borderId="17" xfId="0" applyBorder="1"/>
    <xf numFmtId="0" fontId="6" fillId="0" borderId="1" xfId="0" applyFont="1" applyBorder="1" applyAlignment="1">
      <alignment wrapText="1"/>
    </xf>
    <xf numFmtId="0" fontId="16" fillId="0" borderId="14" xfId="0" applyFont="1" applyBorder="1" applyAlignment="1">
      <alignment wrapText="1"/>
    </xf>
    <xf numFmtId="0" fontId="11" fillId="0" borderId="18" xfId="0" applyFont="1" applyBorder="1" applyAlignment="1">
      <alignment wrapText="1"/>
    </xf>
    <xf numFmtId="0" fontId="21" fillId="0" borderId="10" xfId="0" applyFont="1" applyBorder="1" applyAlignment="1">
      <alignment wrapText="1"/>
    </xf>
    <xf numFmtId="0" fontId="11" fillId="0" borderId="1" xfId="0" applyFont="1" applyBorder="1" applyAlignment="1">
      <alignment wrapText="1"/>
    </xf>
    <xf numFmtId="0" fontId="15" fillId="0" borderId="19" xfId="0" applyFont="1" applyBorder="1" applyAlignment="1">
      <alignment wrapText="1"/>
    </xf>
    <xf numFmtId="0" fontId="11" fillId="0" borderId="19" xfId="0" applyFont="1" applyBorder="1" applyAlignment="1">
      <alignment wrapText="1"/>
    </xf>
    <xf numFmtId="0" fontId="11" fillId="0" borderId="6" xfId="0" applyFont="1" applyBorder="1" applyAlignment="1">
      <alignment wrapText="1"/>
    </xf>
    <xf numFmtId="0" fontId="11" fillId="0" borderId="8" xfId="0" applyFont="1" applyBorder="1" applyAlignment="1">
      <alignment wrapText="1"/>
    </xf>
    <xf numFmtId="0" fontId="11" fillId="0" borderId="20" xfId="0" applyFont="1" applyBorder="1" applyAlignment="1">
      <alignment wrapText="1"/>
    </xf>
    <xf numFmtId="0" fontId="7" fillId="4" borderId="10" xfId="0" applyFont="1" applyFill="1" applyBorder="1"/>
    <xf numFmtId="0" fontId="13" fillId="0" borderId="13" xfId="0" applyFont="1" applyBorder="1" applyAlignment="1">
      <alignment wrapText="1"/>
    </xf>
    <xf numFmtId="0" fontId="8" fillId="0" borderId="9" xfId="0" applyFont="1" applyBorder="1" applyAlignment="1">
      <alignment wrapText="1"/>
    </xf>
    <xf numFmtId="0" fontId="11" fillId="0" borderId="21" xfId="0" applyFont="1" applyBorder="1" applyAlignment="1">
      <alignment wrapText="1"/>
    </xf>
    <xf numFmtId="0" fontId="22" fillId="0" borderId="0" xfId="0" applyFont="1" applyAlignment="1">
      <alignment wrapText="1"/>
    </xf>
    <xf numFmtId="0" fontId="6" fillId="0" borderId="8" xfId="0" applyFont="1" applyBorder="1"/>
    <xf numFmtId="0" fontId="11" fillId="0" borderId="3" xfId="0" applyFont="1" applyBorder="1" applyAlignment="1">
      <alignment wrapText="1"/>
    </xf>
    <xf numFmtId="0" fontId="13" fillId="0" borderId="18" xfId="0" applyFont="1" applyBorder="1" applyAlignment="1">
      <alignment wrapText="1"/>
    </xf>
    <xf numFmtId="0" fontId="6" fillId="0" borderId="18" xfId="0" applyFont="1" applyBorder="1" applyAlignment="1">
      <alignment wrapText="1"/>
    </xf>
    <xf numFmtId="0" fontId="11" fillId="0" borderId="23" xfId="0" applyFont="1" applyBorder="1" applyAlignment="1">
      <alignment wrapText="1"/>
    </xf>
    <xf numFmtId="0" fontId="13" fillId="0" borderId="23" xfId="0" applyFont="1" applyBorder="1" applyAlignment="1">
      <alignment wrapText="1"/>
    </xf>
    <xf numFmtId="0" fontId="6" fillId="0" borderId="23" xfId="0" applyFont="1" applyBorder="1" applyAlignment="1">
      <alignment wrapText="1"/>
    </xf>
    <xf numFmtId="0" fontId="6" fillId="0" borderId="3" xfId="0" applyFont="1" applyBorder="1" applyAlignment="1">
      <alignment wrapText="1"/>
    </xf>
    <xf numFmtId="0" fontId="11" fillId="0" borderId="24" xfId="0" applyFont="1" applyBorder="1" applyAlignment="1">
      <alignment wrapText="1"/>
    </xf>
    <xf numFmtId="0" fontId="6" fillId="0" borderId="25" xfId="0" applyFont="1" applyBorder="1" applyAlignment="1">
      <alignment wrapText="1"/>
    </xf>
    <xf numFmtId="0" fontId="16" fillId="0" borderId="3" xfId="0" applyFont="1" applyBorder="1" applyAlignment="1">
      <alignment wrapText="1"/>
    </xf>
    <xf numFmtId="0" fontId="6" fillId="0" borderId="22" xfId="0" applyFont="1" applyBorder="1" applyAlignment="1">
      <alignment wrapText="1"/>
    </xf>
    <xf numFmtId="0" fontId="1" fillId="2" borderId="1" xfId="0" applyFont="1" applyFill="1" applyBorder="1" applyAlignment="1">
      <alignment horizontal="center" vertical="center"/>
    </xf>
    <xf numFmtId="0" fontId="2" fillId="0" borderId="2" xfId="0" applyFont="1" applyBorder="1"/>
    <xf numFmtId="0" fontId="2" fillId="0" borderId="6" xfId="0" applyFont="1" applyBorder="1"/>
    <xf numFmtId="0" fontId="2" fillId="0" borderId="7" xfId="0" applyFont="1" applyBorder="1"/>
    <xf numFmtId="0" fontId="19" fillId="0" borderId="2" xfId="0" applyFont="1" applyBorder="1" applyAlignment="1">
      <alignment horizontal="center" vertical="center" wrapText="1"/>
    </xf>
    <xf numFmtId="0" fontId="11" fillId="0" borderId="26" xfId="0" applyFont="1" applyBorder="1" applyAlignment="1">
      <alignment wrapText="1"/>
    </xf>
    <xf numFmtId="0" fontId="6" fillId="0" borderId="15" xfId="0" applyFont="1" applyBorder="1" applyAlignment="1">
      <alignment wrapText="1"/>
    </xf>
    <xf numFmtId="0" fontId="6" fillId="0" borderId="24" xfId="0" applyFont="1" applyBorder="1" applyAlignment="1">
      <alignment wrapText="1"/>
    </xf>
    <xf numFmtId="0" fontId="16" fillId="0" borderId="28" xfId="0" applyFont="1" applyBorder="1" applyAlignment="1">
      <alignment wrapText="1"/>
    </xf>
    <xf numFmtId="0" fontId="8" fillId="0" borderId="29" xfId="0" applyFont="1" applyBorder="1" applyAlignment="1">
      <alignment wrapText="1"/>
    </xf>
    <xf numFmtId="0" fontId="6" fillId="0" borderId="27" xfId="0" applyFont="1" applyBorder="1" applyAlignment="1">
      <alignment wrapText="1"/>
    </xf>
    <xf numFmtId="0" fontId="22" fillId="0" borderId="23" xfId="0" applyFont="1" applyBorder="1"/>
    <xf numFmtId="0" fontId="22" fillId="0" borderId="23" xfId="0" applyFont="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Y89"/>
  <sheetViews>
    <sheetView tabSelected="1" zoomScale="60" zoomScaleNormal="60" workbookViewId="0">
      <pane ySplit="9" topLeftCell="A85" activePane="bottomLeft" state="frozen"/>
      <selection pane="bottomLeft" activeCell="J2" sqref="J2"/>
    </sheetView>
  </sheetViews>
  <sheetFormatPr defaultColWidth="12.5546875" defaultRowHeight="15.75" customHeight="1" x14ac:dyDescent="0.25"/>
  <cols>
    <col min="1" max="1" width="10.21875" customWidth="1"/>
    <col min="2" max="2" width="15" customWidth="1"/>
    <col min="3" max="3" width="17.5546875" customWidth="1"/>
    <col min="4" max="4" width="34.5546875" customWidth="1"/>
    <col min="5" max="5" width="63.5546875" customWidth="1"/>
    <col min="6" max="6" width="14.77734375" customWidth="1"/>
    <col min="7" max="7" width="21.77734375" customWidth="1"/>
    <col min="8" max="9" width="16" customWidth="1"/>
    <col min="10" max="10" width="27.5546875" customWidth="1"/>
    <col min="11" max="11" width="38.44140625" customWidth="1"/>
    <col min="12" max="12" width="22.5546875" customWidth="1"/>
    <col min="13" max="13" width="52.77734375" customWidth="1"/>
    <col min="14" max="14" width="21" customWidth="1"/>
    <col min="15" max="15" width="11.77734375" customWidth="1"/>
    <col min="16" max="16" width="12.21875" customWidth="1"/>
    <col min="17" max="17" width="8.5546875" customWidth="1"/>
    <col min="18" max="18" width="19.5546875" customWidth="1"/>
    <col min="19" max="19" width="21.44140625" customWidth="1"/>
    <col min="20" max="20" width="13.44140625" customWidth="1"/>
    <col min="21" max="21" width="14.44140625" customWidth="1"/>
    <col min="22" max="22" width="17.5546875" customWidth="1"/>
    <col min="23" max="25" width="12.5546875" customWidth="1"/>
    <col min="26" max="28" width="10.21875" customWidth="1"/>
  </cols>
  <sheetData>
    <row r="1" spans="1:25" ht="13.8" x14ac:dyDescent="0.25">
      <c r="A1" s="82" t="s">
        <v>0</v>
      </c>
      <c r="B1" s="83"/>
      <c r="C1" s="86" t="s">
        <v>73</v>
      </c>
      <c r="D1" s="83"/>
      <c r="E1" s="83"/>
      <c r="F1" s="26" t="s">
        <v>1</v>
      </c>
      <c r="G1" s="28">
        <v>46140</v>
      </c>
      <c r="H1" s="23"/>
      <c r="I1" s="24"/>
      <c r="J1" s="1"/>
      <c r="K1" s="2"/>
      <c r="L1" s="2"/>
      <c r="M1" s="2"/>
      <c r="N1" s="2"/>
      <c r="O1" s="2"/>
    </row>
    <row r="2" spans="1:25" ht="13.8" x14ac:dyDescent="0.25">
      <c r="A2" s="84"/>
      <c r="B2" s="85"/>
      <c r="C2" s="85"/>
      <c r="D2" s="85"/>
      <c r="E2" s="85"/>
      <c r="F2" s="27" t="s">
        <v>2</v>
      </c>
      <c r="G2" s="29" t="s">
        <v>58</v>
      </c>
      <c r="H2" s="23"/>
      <c r="I2" s="25"/>
      <c r="J2" s="3"/>
      <c r="K2" s="2"/>
      <c r="L2" s="2"/>
      <c r="M2" s="2"/>
      <c r="N2" s="2"/>
      <c r="O2" s="2"/>
    </row>
    <row r="3" spans="1:25" ht="13.2" x14ac:dyDescent="0.25">
      <c r="B3" s="4"/>
      <c r="C3" s="4"/>
      <c r="D3" s="4"/>
      <c r="E3" s="4"/>
      <c r="G3" s="4"/>
    </row>
    <row r="4" spans="1:25" ht="13.2" x14ac:dyDescent="0.25">
      <c r="B4" s="5" t="s">
        <v>3</v>
      </c>
      <c r="C4" s="5" t="s">
        <v>4</v>
      </c>
      <c r="D4" s="5" t="s">
        <v>5</v>
      </c>
      <c r="E4" s="5" t="s">
        <v>6</v>
      </c>
      <c r="F4" s="6" t="s">
        <v>7</v>
      </c>
      <c r="G4" s="5" t="s">
        <v>8</v>
      </c>
    </row>
    <row r="5" spans="1:25" ht="13.2" x14ac:dyDescent="0.25">
      <c r="A5" s="7"/>
      <c r="B5" s="8">
        <f>COUNT(A10:A517)</f>
        <v>79</v>
      </c>
      <c r="C5" s="8">
        <f>COUNTIF(P:P,"未実施")</f>
        <v>0</v>
      </c>
      <c r="D5" s="8">
        <f>COUNTIF(P:P,"OK")</f>
        <v>78</v>
      </c>
      <c r="E5" s="8">
        <f>COUNTIF(P:P,"NG")</f>
        <v>1</v>
      </c>
      <c r="F5" s="9">
        <f>COUNTIF(P:P,"保留")</f>
        <v>0</v>
      </c>
      <c r="G5" s="8">
        <f>COUNTIF(P:P,"対象外")</f>
        <v>0</v>
      </c>
      <c r="H5" s="7"/>
      <c r="I5" s="7"/>
      <c r="J5" s="7"/>
      <c r="K5" s="7"/>
      <c r="L5" s="7"/>
      <c r="M5" s="7"/>
      <c r="N5" s="7"/>
      <c r="O5" s="7"/>
      <c r="P5" s="7"/>
      <c r="Q5" s="7"/>
      <c r="R5" s="7"/>
      <c r="S5" s="7"/>
      <c r="T5" s="7"/>
      <c r="U5" s="7"/>
    </row>
    <row r="6" spans="1:25" ht="13.2" x14ac:dyDescent="0.25">
      <c r="A6" s="7"/>
      <c r="B6" s="4"/>
      <c r="C6" s="4"/>
      <c r="D6" s="4"/>
      <c r="E6" s="4"/>
      <c r="F6" s="7"/>
      <c r="G6" s="4"/>
      <c r="H6" s="7"/>
      <c r="I6" s="7"/>
      <c r="J6" s="7"/>
      <c r="K6" s="7"/>
      <c r="L6" s="7"/>
      <c r="M6" s="7"/>
      <c r="N6" s="7"/>
      <c r="O6" s="7"/>
      <c r="P6" s="7"/>
      <c r="Q6" s="7"/>
      <c r="R6" s="7"/>
      <c r="S6" s="7"/>
      <c r="T6" s="7"/>
      <c r="U6" s="7"/>
    </row>
    <row r="7" spans="1:25" ht="13.2" x14ac:dyDescent="0.25">
      <c r="A7" s="7"/>
      <c r="B7" s="4"/>
      <c r="C7" s="4"/>
      <c r="D7" s="4"/>
      <c r="E7" s="4"/>
      <c r="F7" s="7"/>
      <c r="G7" s="4"/>
      <c r="H7" s="7"/>
      <c r="I7" s="7"/>
      <c r="J7" s="7"/>
      <c r="K7" s="7"/>
      <c r="L7" s="7"/>
      <c r="M7" s="7"/>
      <c r="N7" s="7"/>
      <c r="O7" s="7"/>
      <c r="P7" s="7"/>
      <c r="Q7" s="7"/>
      <c r="R7" s="7"/>
      <c r="S7" s="7"/>
      <c r="T7" s="7"/>
      <c r="U7" s="7"/>
    </row>
    <row r="8" spans="1:25" ht="13.2" x14ac:dyDescent="0.25">
      <c r="A8" s="10" t="s">
        <v>9</v>
      </c>
      <c r="B8" s="11"/>
      <c r="C8" s="11"/>
      <c r="D8" s="11"/>
      <c r="E8" s="11"/>
      <c r="F8" s="12"/>
      <c r="G8" s="11"/>
      <c r="H8" s="12"/>
      <c r="I8" s="12"/>
      <c r="J8" s="12"/>
      <c r="K8" s="12"/>
      <c r="L8" s="12"/>
      <c r="M8" s="13"/>
      <c r="N8" s="14" t="s">
        <v>10</v>
      </c>
      <c r="O8" s="15"/>
      <c r="P8" s="15"/>
      <c r="Q8" s="15"/>
      <c r="R8" s="15"/>
      <c r="S8" s="15"/>
      <c r="T8" s="15"/>
      <c r="U8" s="15"/>
      <c r="V8" s="15"/>
      <c r="W8" s="15"/>
      <c r="X8" s="15"/>
      <c r="Y8" s="16"/>
    </row>
    <row r="9" spans="1:25" ht="26.4" x14ac:dyDescent="0.25">
      <c r="A9" s="17" t="s">
        <v>11</v>
      </c>
      <c r="B9" s="18" t="s">
        <v>12</v>
      </c>
      <c r="C9" s="18" t="s">
        <v>13</v>
      </c>
      <c r="D9" s="18" t="s">
        <v>14</v>
      </c>
      <c r="E9" s="18" t="s">
        <v>15</v>
      </c>
      <c r="F9" s="17" t="s">
        <v>44</v>
      </c>
      <c r="G9" s="18" t="s">
        <v>16</v>
      </c>
      <c r="H9" s="17" t="s">
        <v>17</v>
      </c>
      <c r="I9" s="65" t="s">
        <v>18</v>
      </c>
      <c r="J9" s="17" t="s">
        <v>19</v>
      </c>
      <c r="K9" s="17" t="s">
        <v>20</v>
      </c>
      <c r="L9" s="65" t="s">
        <v>21</v>
      </c>
      <c r="M9" s="17" t="s">
        <v>22</v>
      </c>
      <c r="N9" s="19" t="s">
        <v>23</v>
      </c>
      <c r="O9" s="19" t="s">
        <v>24</v>
      </c>
      <c r="P9" s="19" t="s">
        <v>25</v>
      </c>
      <c r="Q9" s="19" t="s">
        <v>26</v>
      </c>
      <c r="R9" s="19" t="s">
        <v>27</v>
      </c>
      <c r="S9" s="19" t="s">
        <v>28</v>
      </c>
      <c r="T9" s="19" t="s">
        <v>29</v>
      </c>
      <c r="U9" s="19" t="s">
        <v>30</v>
      </c>
      <c r="V9" s="19" t="s">
        <v>31</v>
      </c>
      <c r="W9" s="19" t="s">
        <v>32</v>
      </c>
      <c r="X9" s="19" t="s">
        <v>33</v>
      </c>
      <c r="Y9" s="19" t="s">
        <v>34</v>
      </c>
    </row>
    <row r="10" spans="1:25" ht="130.05000000000001" customHeight="1" x14ac:dyDescent="0.25">
      <c r="A10" s="9">
        <f t="shared" ref="A10:A86" si="0">ROW()-9</f>
        <v>1</v>
      </c>
      <c r="B10" s="33" t="s">
        <v>59</v>
      </c>
      <c r="C10" s="33" t="s">
        <v>57</v>
      </c>
      <c r="D10" s="33" t="s">
        <v>63</v>
      </c>
      <c r="E10" s="33" t="s">
        <v>60</v>
      </c>
      <c r="F10" s="34" t="s">
        <v>35</v>
      </c>
      <c r="G10" s="33" t="s">
        <v>75</v>
      </c>
      <c r="H10" s="59" t="s">
        <v>74</v>
      </c>
      <c r="I10" s="37" t="s">
        <v>45</v>
      </c>
      <c r="J10" s="45" t="s">
        <v>85</v>
      </c>
      <c r="K10" s="55" t="s">
        <v>86</v>
      </c>
      <c r="L10" s="67">
        <v>123</v>
      </c>
      <c r="M10" s="66" t="s">
        <v>64</v>
      </c>
      <c r="N10" s="20">
        <v>46139</v>
      </c>
      <c r="O10" s="21" t="s">
        <v>71</v>
      </c>
      <c r="P10" s="21" t="s">
        <v>5</v>
      </c>
      <c r="Q10" s="21"/>
      <c r="R10" s="21"/>
      <c r="S10" s="21"/>
      <c r="T10" s="9"/>
      <c r="U10" s="21"/>
      <c r="V10" s="21" t="s">
        <v>145</v>
      </c>
      <c r="W10" s="9"/>
      <c r="X10" s="9"/>
      <c r="Y10" s="9"/>
    </row>
    <row r="11" spans="1:25" ht="130.05000000000001" customHeight="1" x14ac:dyDescent="0.25">
      <c r="A11" s="9">
        <f t="shared" si="0"/>
        <v>2</v>
      </c>
      <c r="B11" s="40"/>
      <c r="C11" s="40"/>
      <c r="D11" s="40"/>
      <c r="E11" s="40"/>
      <c r="F11" s="41"/>
      <c r="G11" s="49"/>
      <c r="H11" s="60" t="s">
        <v>76</v>
      </c>
      <c r="I11" s="37" t="s">
        <v>45</v>
      </c>
      <c r="J11" s="52"/>
      <c r="K11" s="55" t="s">
        <v>86</v>
      </c>
      <c r="L11" s="38" t="s">
        <v>44</v>
      </c>
      <c r="M11" s="66" t="s">
        <v>64</v>
      </c>
      <c r="N11" s="20">
        <v>46139</v>
      </c>
      <c r="O11" s="21" t="s">
        <v>71</v>
      </c>
      <c r="P11" s="21" t="s">
        <v>5</v>
      </c>
      <c r="Q11" s="21"/>
      <c r="R11" s="21"/>
      <c r="S11" s="21"/>
      <c r="T11" s="9"/>
      <c r="U11" s="21"/>
      <c r="V11" s="21" t="s">
        <v>146</v>
      </c>
      <c r="W11" s="9"/>
      <c r="X11" s="9"/>
      <c r="Y11" s="9"/>
    </row>
    <row r="12" spans="1:25" ht="130.05000000000001" customHeight="1" x14ac:dyDescent="0.25">
      <c r="A12" s="9">
        <f t="shared" si="0"/>
        <v>3</v>
      </c>
      <c r="B12" s="40"/>
      <c r="C12" s="40"/>
      <c r="D12" s="40"/>
      <c r="E12" s="40"/>
      <c r="F12" s="41"/>
      <c r="G12" s="49"/>
      <c r="H12" s="61" t="s">
        <v>77</v>
      </c>
      <c r="I12" s="37" t="s">
        <v>78</v>
      </c>
      <c r="J12" s="52"/>
      <c r="K12" s="55" t="s">
        <v>87</v>
      </c>
      <c r="L12" s="67"/>
      <c r="M12" s="66" t="s">
        <v>64</v>
      </c>
      <c r="N12" s="20">
        <v>46139</v>
      </c>
      <c r="O12" s="21" t="s">
        <v>71</v>
      </c>
      <c r="P12" s="21" t="s">
        <v>5</v>
      </c>
      <c r="Q12" s="21"/>
      <c r="R12" s="21"/>
      <c r="S12" s="21"/>
      <c r="T12" s="9"/>
      <c r="U12" s="21"/>
      <c r="V12" s="21" t="s">
        <v>147</v>
      </c>
      <c r="W12" s="9"/>
      <c r="X12" s="9"/>
      <c r="Y12" s="9"/>
    </row>
    <row r="13" spans="1:25" ht="130.05000000000001" customHeight="1" x14ac:dyDescent="0.25">
      <c r="A13" s="9">
        <f t="shared" si="0"/>
        <v>4</v>
      </c>
      <c r="B13" s="40"/>
      <c r="C13" s="40"/>
      <c r="D13" s="40"/>
      <c r="E13" s="40"/>
      <c r="F13" s="41"/>
      <c r="G13" s="49"/>
      <c r="H13" s="61" t="s">
        <v>79</v>
      </c>
      <c r="I13" s="37" t="s">
        <v>78</v>
      </c>
      <c r="J13" s="52"/>
      <c r="K13" s="55" t="s">
        <v>87</v>
      </c>
      <c r="L13" s="67"/>
      <c r="M13" s="66" t="s">
        <v>64</v>
      </c>
      <c r="N13" s="20">
        <v>46139</v>
      </c>
      <c r="O13" s="21" t="s">
        <v>71</v>
      </c>
      <c r="P13" s="21" t="s">
        <v>5</v>
      </c>
      <c r="Q13" s="21"/>
      <c r="R13" s="21"/>
      <c r="S13" s="21"/>
      <c r="T13" s="9"/>
      <c r="U13" s="21"/>
      <c r="V13" s="21" t="s">
        <v>148</v>
      </c>
      <c r="W13" s="9"/>
      <c r="X13" s="9"/>
      <c r="Y13" s="9"/>
    </row>
    <row r="14" spans="1:25" ht="130.05000000000001" customHeight="1" x14ac:dyDescent="0.25">
      <c r="A14" s="9">
        <f t="shared" si="0"/>
        <v>5</v>
      </c>
      <c r="B14" s="40"/>
      <c r="C14" s="40"/>
      <c r="D14" s="40"/>
      <c r="E14" s="40"/>
      <c r="F14" s="41"/>
      <c r="G14" s="40"/>
      <c r="H14" s="62" t="s">
        <v>80</v>
      </c>
      <c r="I14" s="37" t="s">
        <v>45</v>
      </c>
      <c r="J14" s="52"/>
      <c r="K14" s="55" t="s">
        <v>86</v>
      </c>
      <c r="L14" s="67">
        <v>123</v>
      </c>
      <c r="M14" s="66" t="s">
        <v>64</v>
      </c>
      <c r="N14" s="20">
        <v>46139</v>
      </c>
      <c r="O14" s="21" t="s">
        <v>71</v>
      </c>
      <c r="P14" s="21" t="s">
        <v>5</v>
      </c>
      <c r="Q14" s="21"/>
      <c r="R14" s="21"/>
      <c r="S14" s="21"/>
      <c r="T14" s="9"/>
      <c r="U14" s="21"/>
      <c r="V14" s="21" t="s">
        <v>149</v>
      </c>
      <c r="W14" s="9"/>
      <c r="X14" s="9"/>
      <c r="Y14" s="9"/>
    </row>
    <row r="15" spans="1:25" ht="130.05000000000001" customHeight="1" x14ac:dyDescent="0.25">
      <c r="A15" s="9">
        <f t="shared" si="0"/>
        <v>6</v>
      </c>
      <c r="B15" s="40"/>
      <c r="C15" s="40"/>
      <c r="D15" s="40"/>
      <c r="E15" s="40"/>
      <c r="F15" s="41"/>
      <c r="G15" s="40"/>
      <c r="H15" s="63" t="s">
        <v>81</v>
      </c>
      <c r="I15" s="37" t="s">
        <v>88</v>
      </c>
      <c r="J15" s="52"/>
      <c r="K15" s="55" t="s">
        <v>89</v>
      </c>
      <c r="L15" s="67"/>
      <c r="M15" s="66" t="s">
        <v>64</v>
      </c>
      <c r="N15" s="20">
        <v>46139</v>
      </c>
      <c r="O15" s="21" t="s">
        <v>71</v>
      </c>
      <c r="P15" s="21" t="s">
        <v>5</v>
      </c>
      <c r="Q15" s="21"/>
      <c r="R15" s="21"/>
      <c r="S15" s="21"/>
      <c r="T15" s="9"/>
      <c r="U15" s="21"/>
      <c r="V15" s="21" t="s">
        <v>150</v>
      </c>
      <c r="W15" s="9"/>
      <c r="X15" s="9"/>
      <c r="Y15" s="9"/>
    </row>
    <row r="16" spans="1:25" ht="130.05000000000001" customHeight="1" x14ac:dyDescent="0.25">
      <c r="A16" s="9">
        <f t="shared" si="0"/>
        <v>7</v>
      </c>
      <c r="B16" s="40"/>
      <c r="C16" s="40"/>
      <c r="D16" s="40"/>
      <c r="E16" s="40"/>
      <c r="F16" s="41"/>
      <c r="G16" s="40"/>
      <c r="H16" s="63" t="s">
        <v>82</v>
      </c>
      <c r="I16" s="37" t="s">
        <v>88</v>
      </c>
      <c r="J16" s="52"/>
      <c r="K16" s="55" t="s">
        <v>89</v>
      </c>
      <c r="L16" s="67"/>
      <c r="M16" s="66" t="s">
        <v>64</v>
      </c>
      <c r="N16" s="20">
        <v>46139</v>
      </c>
      <c r="O16" s="21" t="s">
        <v>71</v>
      </c>
      <c r="P16" s="21" t="s">
        <v>5</v>
      </c>
      <c r="Q16" s="21"/>
      <c r="R16" s="21"/>
      <c r="S16" s="21"/>
      <c r="T16" s="9"/>
      <c r="U16" s="21"/>
      <c r="V16" s="21" t="s">
        <v>151</v>
      </c>
      <c r="W16" s="9"/>
      <c r="X16" s="9"/>
      <c r="Y16" s="9"/>
    </row>
    <row r="17" spans="1:25" ht="130.05000000000001" customHeight="1" x14ac:dyDescent="0.25">
      <c r="A17" s="9">
        <f t="shared" si="0"/>
        <v>8</v>
      </c>
      <c r="B17" s="40"/>
      <c r="C17" s="40"/>
      <c r="D17" s="40"/>
      <c r="E17" s="40"/>
      <c r="F17" s="41"/>
      <c r="G17" s="40"/>
      <c r="H17" s="63" t="s">
        <v>83</v>
      </c>
      <c r="I17" s="38" t="s">
        <v>46</v>
      </c>
      <c r="J17" s="52"/>
      <c r="K17" s="55" t="s">
        <v>90</v>
      </c>
      <c r="L17" s="67"/>
      <c r="M17" s="66" t="s">
        <v>91</v>
      </c>
      <c r="N17" s="20">
        <v>46139</v>
      </c>
      <c r="O17" s="21" t="s">
        <v>71</v>
      </c>
      <c r="P17" s="21" t="s">
        <v>5</v>
      </c>
      <c r="Q17" s="21"/>
      <c r="R17" s="21"/>
      <c r="S17" s="21"/>
      <c r="T17" s="9"/>
      <c r="U17" s="21"/>
      <c r="V17" s="21" t="s">
        <v>152</v>
      </c>
      <c r="W17" s="9"/>
      <c r="X17" s="9"/>
      <c r="Y17" s="9"/>
    </row>
    <row r="18" spans="1:25" ht="130.05000000000001" customHeight="1" x14ac:dyDescent="0.25">
      <c r="A18" s="9">
        <f t="shared" si="0"/>
        <v>9</v>
      </c>
      <c r="B18" s="42"/>
      <c r="C18" s="42"/>
      <c r="D18" s="42"/>
      <c r="E18" s="42"/>
      <c r="F18" s="43"/>
      <c r="G18" s="42"/>
      <c r="H18" s="63" t="s">
        <v>84</v>
      </c>
      <c r="I18" s="38" t="s">
        <v>46</v>
      </c>
      <c r="J18" s="64"/>
      <c r="K18" s="55" t="s">
        <v>90</v>
      </c>
      <c r="L18" s="67"/>
      <c r="M18" s="45" t="s">
        <v>92</v>
      </c>
      <c r="N18" s="20">
        <v>46139</v>
      </c>
      <c r="O18" s="21" t="s">
        <v>71</v>
      </c>
      <c r="P18" s="21" t="s">
        <v>5</v>
      </c>
      <c r="Q18" s="21"/>
      <c r="R18" s="21"/>
      <c r="S18" s="21"/>
      <c r="T18" s="9"/>
      <c r="U18" s="21"/>
      <c r="V18" s="21" t="s">
        <v>153</v>
      </c>
      <c r="W18" s="9"/>
      <c r="X18" s="9"/>
      <c r="Y18" s="9"/>
    </row>
    <row r="19" spans="1:25" ht="130.05000000000001" customHeight="1" x14ac:dyDescent="0.25">
      <c r="A19" s="9">
        <f t="shared" si="0"/>
        <v>10</v>
      </c>
      <c r="B19" s="33" t="s">
        <v>61</v>
      </c>
      <c r="C19" s="33" t="s">
        <v>57</v>
      </c>
      <c r="D19" s="39" t="s">
        <v>65</v>
      </c>
      <c r="E19" s="35" t="s">
        <v>62</v>
      </c>
      <c r="F19" s="34" t="s">
        <v>35</v>
      </c>
      <c r="G19" s="33" t="s">
        <v>75</v>
      </c>
      <c r="H19" s="33" t="s">
        <v>74</v>
      </c>
      <c r="I19" s="34" t="s">
        <v>36</v>
      </c>
      <c r="J19" s="33"/>
      <c r="K19" s="36" t="s">
        <v>133</v>
      </c>
      <c r="L19" s="8" t="s">
        <v>47</v>
      </c>
      <c r="M19" s="33" t="s">
        <v>93</v>
      </c>
      <c r="N19" s="20">
        <v>46139</v>
      </c>
      <c r="O19" s="21" t="s">
        <v>71</v>
      </c>
      <c r="P19" s="21" t="s">
        <v>5</v>
      </c>
      <c r="Q19" s="21"/>
      <c r="R19" s="21"/>
      <c r="S19" s="21"/>
      <c r="T19" s="9"/>
      <c r="U19" s="21"/>
      <c r="V19" s="21" t="s">
        <v>154</v>
      </c>
      <c r="W19" s="9"/>
      <c r="X19" s="9"/>
      <c r="Y19" s="9"/>
    </row>
    <row r="20" spans="1:25" ht="130.05000000000001" customHeight="1" x14ac:dyDescent="0.25">
      <c r="A20" s="9">
        <f t="shared" si="0"/>
        <v>11</v>
      </c>
      <c r="B20" s="40"/>
      <c r="C20" s="40"/>
      <c r="D20" s="44"/>
      <c r="E20" s="50"/>
      <c r="F20" s="41"/>
      <c r="G20" s="40"/>
      <c r="H20" s="40"/>
      <c r="I20" s="41"/>
      <c r="K20" s="47"/>
      <c r="L20" s="8" t="s">
        <v>48</v>
      </c>
      <c r="M20" s="33" t="s">
        <v>93</v>
      </c>
      <c r="N20" s="20">
        <v>46139</v>
      </c>
      <c r="O20" s="21" t="s">
        <v>71</v>
      </c>
      <c r="P20" s="21" t="s">
        <v>5</v>
      </c>
      <c r="Q20" s="21"/>
      <c r="R20" s="21"/>
      <c r="S20" s="21"/>
      <c r="T20" s="9"/>
      <c r="U20" s="21"/>
      <c r="V20" s="21" t="s">
        <v>155</v>
      </c>
      <c r="W20" s="9"/>
      <c r="X20" s="9"/>
      <c r="Y20" s="9"/>
    </row>
    <row r="21" spans="1:25" ht="130.05000000000001" customHeight="1" x14ac:dyDescent="0.25">
      <c r="A21" s="9">
        <f t="shared" si="0"/>
        <v>12</v>
      </c>
      <c r="B21" s="40"/>
      <c r="C21" s="40"/>
      <c r="D21" s="44"/>
      <c r="E21" s="50"/>
      <c r="F21" s="41"/>
      <c r="G21" s="40"/>
      <c r="H21" s="40"/>
      <c r="I21" s="41"/>
      <c r="J21" s="40" t="s">
        <v>95</v>
      </c>
      <c r="K21" s="47"/>
      <c r="L21" s="8" t="s">
        <v>94</v>
      </c>
      <c r="M21" s="33" t="s">
        <v>96</v>
      </c>
      <c r="N21" s="20">
        <v>46139</v>
      </c>
      <c r="O21" s="21" t="s">
        <v>71</v>
      </c>
      <c r="P21" s="21" t="s">
        <v>5</v>
      </c>
      <c r="Q21" s="21"/>
      <c r="R21" s="21"/>
      <c r="S21" s="21"/>
      <c r="T21" s="9"/>
      <c r="U21" s="21"/>
      <c r="V21" s="21" t="s">
        <v>156</v>
      </c>
      <c r="W21" s="9"/>
      <c r="X21" s="9"/>
      <c r="Y21" s="9"/>
    </row>
    <row r="22" spans="1:25" ht="130.05000000000001" customHeight="1" x14ac:dyDescent="0.25">
      <c r="A22" s="9">
        <f t="shared" si="0"/>
        <v>13</v>
      </c>
      <c r="B22" s="40"/>
      <c r="C22" s="40"/>
      <c r="D22" s="44"/>
      <c r="E22" s="50"/>
      <c r="F22" s="41"/>
      <c r="G22" s="40"/>
      <c r="H22" s="40"/>
      <c r="I22" s="41"/>
      <c r="J22" s="40"/>
      <c r="K22" s="47"/>
      <c r="L22" s="8" t="s">
        <v>49</v>
      </c>
      <c r="M22" s="33" t="s">
        <v>93</v>
      </c>
      <c r="N22" s="20">
        <v>46139</v>
      </c>
      <c r="O22" s="21" t="s">
        <v>71</v>
      </c>
      <c r="P22" s="21" t="s">
        <v>5</v>
      </c>
      <c r="Q22" s="21"/>
      <c r="R22" s="21"/>
      <c r="S22" s="21"/>
      <c r="T22" s="9"/>
      <c r="U22" s="21"/>
      <c r="V22" s="21" t="s">
        <v>157</v>
      </c>
      <c r="W22" s="9"/>
      <c r="X22" s="9"/>
      <c r="Y22" s="9"/>
    </row>
    <row r="23" spans="1:25" ht="130.05000000000001" customHeight="1" x14ac:dyDescent="0.25">
      <c r="A23" s="9">
        <f t="shared" si="0"/>
        <v>14</v>
      </c>
      <c r="B23" s="40"/>
      <c r="C23" s="40"/>
      <c r="D23" s="44"/>
      <c r="E23" s="50"/>
      <c r="F23" s="41"/>
      <c r="G23" s="40"/>
      <c r="H23" s="40"/>
      <c r="I23" s="41"/>
      <c r="J23" s="40"/>
      <c r="K23" s="47"/>
      <c r="L23" s="8" t="s">
        <v>50</v>
      </c>
      <c r="M23" s="33" t="s">
        <v>93</v>
      </c>
      <c r="N23" s="20">
        <v>46139</v>
      </c>
      <c r="O23" s="21" t="s">
        <v>71</v>
      </c>
      <c r="P23" s="21" t="s">
        <v>5</v>
      </c>
      <c r="Q23" s="21"/>
      <c r="R23" s="21"/>
      <c r="S23" s="21"/>
      <c r="T23" s="9"/>
      <c r="U23" s="21"/>
      <c r="V23" s="21" t="s">
        <v>158</v>
      </c>
      <c r="W23" s="9"/>
      <c r="X23" s="9"/>
      <c r="Y23" s="9"/>
    </row>
    <row r="24" spans="1:25" ht="130.05000000000001" customHeight="1" x14ac:dyDescent="0.25">
      <c r="A24" s="9">
        <f t="shared" si="0"/>
        <v>15</v>
      </c>
      <c r="B24" s="40"/>
      <c r="C24" s="40"/>
      <c r="D24" s="44"/>
      <c r="E24" s="50"/>
      <c r="F24" s="41"/>
      <c r="G24" s="40"/>
      <c r="H24" s="40"/>
      <c r="I24" s="41"/>
      <c r="J24" s="40"/>
      <c r="K24" s="47"/>
      <c r="L24" s="8" t="s">
        <v>51</v>
      </c>
      <c r="M24" s="33" t="s">
        <v>93</v>
      </c>
      <c r="N24" s="20">
        <v>46139</v>
      </c>
      <c r="O24" s="21" t="s">
        <v>71</v>
      </c>
      <c r="P24" s="21" t="s">
        <v>5</v>
      </c>
      <c r="Q24" s="21"/>
      <c r="R24" s="21"/>
      <c r="S24" s="21"/>
      <c r="T24" s="9"/>
      <c r="U24" s="21"/>
      <c r="V24" s="21" t="s">
        <v>159</v>
      </c>
      <c r="W24" s="9"/>
      <c r="X24" s="9"/>
      <c r="Y24" s="9"/>
    </row>
    <row r="25" spans="1:25" ht="130.05000000000001" customHeight="1" x14ac:dyDescent="0.25">
      <c r="A25" s="9">
        <f t="shared" si="0"/>
        <v>16</v>
      </c>
      <c r="B25" s="40"/>
      <c r="C25" s="40"/>
      <c r="D25" s="44"/>
      <c r="E25" s="50"/>
      <c r="F25" s="41"/>
      <c r="G25" s="40"/>
      <c r="H25" s="40"/>
      <c r="I25" s="41"/>
      <c r="J25" s="40"/>
      <c r="K25" s="47"/>
      <c r="L25" s="8" t="s">
        <v>52</v>
      </c>
      <c r="M25" s="33" t="s">
        <v>93</v>
      </c>
      <c r="N25" s="20">
        <v>46139</v>
      </c>
      <c r="O25" s="21" t="s">
        <v>71</v>
      </c>
      <c r="P25" s="21" t="s">
        <v>5</v>
      </c>
      <c r="Q25" s="21"/>
      <c r="R25" s="21"/>
      <c r="S25" s="21"/>
      <c r="T25" s="9"/>
      <c r="U25" s="21"/>
      <c r="V25" s="21" t="s">
        <v>160</v>
      </c>
      <c r="W25" s="9"/>
      <c r="X25" s="9"/>
      <c r="Y25" s="9"/>
    </row>
    <row r="26" spans="1:25" ht="130.05000000000001" customHeight="1" x14ac:dyDescent="0.25">
      <c r="A26" s="9">
        <f t="shared" si="0"/>
        <v>17</v>
      </c>
      <c r="B26" s="40"/>
      <c r="C26" s="40"/>
      <c r="D26" s="44"/>
      <c r="E26" s="50"/>
      <c r="F26" s="41"/>
      <c r="G26" s="40"/>
      <c r="H26" s="40"/>
      <c r="I26" s="41"/>
      <c r="J26" s="40" t="s">
        <v>95</v>
      </c>
      <c r="K26" s="47"/>
      <c r="L26" s="8" t="s">
        <v>97</v>
      </c>
      <c r="M26" s="33" t="s">
        <v>96</v>
      </c>
      <c r="N26" s="20">
        <v>46139</v>
      </c>
      <c r="O26" s="21" t="s">
        <v>71</v>
      </c>
      <c r="P26" s="21" t="s">
        <v>5</v>
      </c>
      <c r="Q26" s="21"/>
      <c r="R26" s="21"/>
      <c r="S26" s="21"/>
      <c r="T26" s="9"/>
      <c r="U26" s="21"/>
      <c r="V26" s="21" t="s">
        <v>161</v>
      </c>
      <c r="W26" s="9"/>
      <c r="X26" s="9"/>
      <c r="Y26" s="9"/>
    </row>
    <row r="27" spans="1:25" ht="130.05000000000001" customHeight="1" x14ac:dyDescent="0.25">
      <c r="A27" s="9">
        <f t="shared" si="0"/>
        <v>18</v>
      </c>
      <c r="B27" s="40"/>
      <c r="C27" s="40"/>
      <c r="D27" s="44"/>
      <c r="E27" s="50"/>
      <c r="F27" s="41"/>
      <c r="G27" s="40"/>
      <c r="H27" s="40"/>
      <c r="I27" s="41"/>
      <c r="J27" s="40"/>
      <c r="K27" s="47"/>
      <c r="L27" s="8" t="s">
        <v>53</v>
      </c>
      <c r="M27" s="33" t="s">
        <v>93</v>
      </c>
      <c r="N27" s="20">
        <v>46139</v>
      </c>
      <c r="O27" s="21" t="s">
        <v>71</v>
      </c>
      <c r="P27" s="21" t="s">
        <v>5</v>
      </c>
      <c r="Q27" s="21"/>
      <c r="R27" s="21"/>
      <c r="S27" s="21"/>
      <c r="T27" s="9"/>
      <c r="U27" s="21"/>
      <c r="V27" s="21" t="s">
        <v>162</v>
      </c>
      <c r="W27" s="9"/>
      <c r="X27" s="9"/>
      <c r="Y27" s="9"/>
    </row>
    <row r="28" spans="1:25" ht="130.05000000000001" customHeight="1" x14ac:dyDescent="0.25">
      <c r="A28" s="9">
        <f t="shared" si="0"/>
        <v>19</v>
      </c>
      <c r="B28" s="40"/>
      <c r="C28" s="40"/>
      <c r="D28" s="44"/>
      <c r="E28" s="50"/>
      <c r="F28" s="41"/>
      <c r="G28" s="40"/>
      <c r="H28" s="40"/>
      <c r="I28" s="41"/>
      <c r="J28" s="40"/>
      <c r="K28" s="47"/>
      <c r="L28" s="8" t="s">
        <v>54</v>
      </c>
      <c r="M28" s="33" t="s">
        <v>93</v>
      </c>
      <c r="N28" s="20">
        <v>46139</v>
      </c>
      <c r="O28" s="21" t="s">
        <v>71</v>
      </c>
      <c r="P28" s="21" t="s">
        <v>5</v>
      </c>
      <c r="Q28" s="21"/>
      <c r="R28" s="21"/>
      <c r="S28" s="21"/>
      <c r="T28" s="9"/>
      <c r="U28" s="21"/>
      <c r="V28" s="21" t="s">
        <v>163</v>
      </c>
      <c r="W28" s="9"/>
      <c r="X28" s="9"/>
      <c r="Y28" s="9"/>
    </row>
    <row r="29" spans="1:25" ht="130.05000000000001" customHeight="1" x14ac:dyDescent="0.25">
      <c r="A29" s="9">
        <f t="shared" si="0"/>
        <v>20</v>
      </c>
      <c r="B29" s="40"/>
      <c r="C29" s="40"/>
      <c r="D29" s="44"/>
      <c r="E29" s="50"/>
      <c r="F29" s="41"/>
      <c r="G29" s="40"/>
      <c r="H29" s="40"/>
      <c r="I29" s="41"/>
      <c r="J29" s="40"/>
      <c r="K29" s="47"/>
      <c r="L29" s="8" t="s">
        <v>55</v>
      </c>
      <c r="M29" s="33" t="s">
        <v>93</v>
      </c>
      <c r="N29" s="20">
        <v>46139</v>
      </c>
      <c r="O29" s="21" t="s">
        <v>71</v>
      </c>
      <c r="P29" s="21" t="s">
        <v>5</v>
      </c>
      <c r="Q29" s="21"/>
      <c r="R29" s="21"/>
      <c r="S29" s="21"/>
      <c r="T29" s="9"/>
      <c r="U29" s="21"/>
      <c r="V29" s="21" t="s">
        <v>164</v>
      </c>
      <c r="W29" s="9"/>
      <c r="X29" s="9"/>
      <c r="Y29" s="9"/>
    </row>
    <row r="30" spans="1:25" ht="130.05000000000001" customHeight="1" x14ac:dyDescent="0.25">
      <c r="A30" s="9">
        <f t="shared" si="0"/>
        <v>21</v>
      </c>
      <c r="B30" s="40"/>
      <c r="C30" s="40"/>
      <c r="D30" s="44"/>
      <c r="E30" s="50"/>
      <c r="F30" s="41"/>
      <c r="G30" s="40"/>
      <c r="H30" s="40"/>
      <c r="I30" s="41"/>
      <c r="J30" s="40"/>
      <c r="K30" s="47"/>
      <c r="L30" s="8" t="s">
        <v>56</v>
      </c>
      <c r="M30" s="33" t="s">
        <v>93</v>
      </c>
      <c r="N30" s="20">
        <v>46139</v>
      </c>
      <c r="O30" s="21" t="s">
        <v>71</v>
      </c>
      <c r="P30" s="21" t="s">
        <v>5</v>
      </c>
      <c r="Q30" s="21"/>
      <c r="R30" s="21"/>
      <c r="S30" s="21"/>
      <c r="T30" s="9"/>
      <c r="U30" s="21"/>
      <c r="V30" s="21" t="s">
        <v>165</v>
      </c>
      <c r="W30" s="9"/>
      <c r="X30" s="9"/>
      <c r="Y30" s="9"/>
    </row>
    <row r="31" spans="1:25" ht="130.05000000000001" customHeight="1" x14ac:dyDescent="0.25">
      <c r="A31" s="9">
        <f t="shared" si="0"/>
        <v>22</v>
      </c>
      <c r="B31" s="40"/>
      <c r="C31" s="40"/>
      <c r="D31" s="44"/>
      <c r="E31" s="50"/>
      <c r="F31" s="41"/>
      <c r="G31" s="40"/>
      <c r="H31" s="40"/>
      <c r="I31" s="41"/>
      <c r="J31" s="40"/>
      <c r="K31" s="47"/>
      <c r="L31" s="8" t="s">
        <v>169</v>
      </c>
      <c r="M31" s="33" t="s">
        <v>93</v>
      </c>
      <c r="N31" s="20">
        <v>46139</v>
      </c>
      <c r="O31" s="21" t="s">
        <v>71</v>
      </c>
      <c r="P31" s="21" t="s">
        <v>5</v>
      </c>
      <c r="Q31" s="21"/>
      <c r="R31" s="21"/>
      <c r="S31" s="21"/>
      <c r="T31" s="9"/>
      <c r="U31" s="21"/>
      <c r="V31" s="21" t="s">
        <v>166</v>
      </c>
      <c r="W31" s="9"/>
      <c r="X31" s="9"/>
      <c r="Y31" s="9"/>
    </row>
    <row r="32" spans="1:25" ht="130.05000000000001" customHeight="1" x14ac:dyDescent="0.25">
      <c r="A32" s="9">
        <f t="shared" si="0"/>
        <v>23</v>
      </c>
      <c r="B32" s="40"/>
      <c r="C32" s="40"/>
      <c r="D32" s="44"/>
      <c r="E32" s="50"/>
      <c r="F32" s="41"/>
      <c r="G32" s="40"/>
      <c r="H32" s="40"/>
      <c r="I32" s="41"/>
      <c r="J32" s="40"/>
      <c r="K32" s="47"/>
      <c r="L32" s="8" t="s">
        <v>170</v>
      </c>
      <c r="M32" s="33" t="s">
        <v>93</v>
      </c>
      <c r="N32" s="20">
        <v>46139</v>
      </c>
      <c r="O32" s="21" t="s">
        <v>71</v>
      </c>
      <c r="P32" s="21" t="s">
        <v>5</v>
      </c>
      <c r="Q32" s="21"/>
      <c r="R32" s="21"/>
      <c r="S32" s="21"/>
      <c r="T32" s="9"/>
      <c r="U32" s="21"/>
      <c r="V32" s="21" t="s">
        <v>167</v>
      </c>
      <c r="W32" s="9"/>
      <c r="X32" s="9"/>
      <c r="Y32" s="9"/>
    </row>
    <row r="33" spans="1:25" ht="130.05000000000001" customHeight="1" x14ac:dyDescent="0.25">
      <c r="A33" s="9">
        <f t="shared" si="0"/>
        <v>24</v>
      </c>
      <c r="B33" s="42"/>
      <c r="C33" s="42"/>
      <c r="D33" s="53"/>
      <c r="E33" s="51"/>
      <c r="F33" s="43"/>
      <c r="G33" s="42"/>
      <c r="H33" s="42"/>
      <c r="I33" s="43"/>
      <c r="J33" s="42"/>
      <c r="K33" s="48"/>
      <c r="L33" s="8" t="s">
        <v>171</v>
      </c>
      <c r="M33" s="33" t="s">
        <v>93</v>
      </c>
      <c r="N33" s="20">
        <v>46139</v>
      </c>
      <c r="O33" s="21" t="s">
        <v>58</v>
      </c>
      <c r="P33" s="21" t="s">
        <v>5</v>
      </c>
      <c r="Q33" s="21"/>
      <c r="R33" s="21"/>
      <c r="S33" s="21"/>
      <c r="T33" s="9"/>
      <c r="U33" s="21"/>
      <c r="V33" s="21" t="s">
        <v>168</v>
      </c>
      <c r="W33" s="9"/>
      <c r="X33" s="9"/>
      <c r="Y33" s="9"/>
    </row>
    <row r="34" spans="1:25" ht="130.05000000000001" customHeight="1" x14ac:dyDescent="0.25">
      <c r="A34" s="9">
        <f t="shared" si="0"/>
        <v>25</v>
      </c>
      <c r="B34" s="33" t="s">
        <v>61</v>
      </c>
      <c r="C34" s="33" t="s">
        <v>57</v>
      </c>
      <c r="D34" s="39" t="s">
        <v>65</v>
      </c>
      <c r="E34" s="35" t="s">
        <v>62</v>
      </c>
      <c r="F34" s="34" t="s">
        <v>35</v>
      </c>
      <c r="G34" s="33" t="s">
        <v>75</v>
      </c>
      <c r="H34" s="33" t="s">
        <v>98</v>
      </c>
      <c r="I34" s="34" t="s">
        <v>36</v>
      </c>
      <c r="J34" s="33"/>
      <c r="K34" s="36" t="s">
        <v>133</v>
      </c>
      <c r="L34" s="8" t="s">
        <v>47</v>
      </c>
      <c r="M34" s="33" t="s">
        <v>106</v>
      </c>
      <c r="N34" s="20">
        <v>46139</v>
      </c>
      <c r="O34" s="21" t="s">
        <v>58</v>
      </c>
      <c r="P34" s="21" t="s">
        <v>5</v>
      </c>
      <c r="Q34" s="21"/>
      <c r="R34" s="21"/>
      <c r="S34" s="21"/>
      <c r="T34" s="9"/>
      <c r="U34" s="21"/>
      <c r="V34" s="21" t="s">
        <v>172</v>
      </c>
      <c r="W34" s="9"/>
      <c r="X34" s="9"/>
      <c r="Y34" s="9"/>
    </row>
    <row r="35" spans="1:25" ht="130.05000000000001" customHeight="1" x14ac:dyDescent="0.25">
      <c r="A35" s="9">
        <f t="shared" si="0"/>
        <v>26</v>
      </c>
      <c r="B35" s="40"/>
      <c r="C35" s="40"/>
      <c r="D35" s="44"/>
      <c r="E35" s="50"/>
      <c r="F35" s="41"/>
      <c r="G35" s="40"/>
      <c r="H35" s="40"/>
      <c r="I35" s="41"/>
      <c r="J35" s="33"/>
      <c r="K35" s="47"/>
      <c r="L35" s="8" t="s">
        <v>48</v>
      </c>
      <c r="M35" s="33" t="s">
        <v>106</v>
      </c>
      <c r="N35" s="20">
        <v>46139</v>
      </c>
      <c r="O35" s="21" t="s">
        <v>58</v>
      </c>
      <c r="P35" s="21" t="s">
        <v>5</v>
      </c>
      <c r="Q35" s="21"/>
      <c r="R35" s="21"/>
      <c r="S35" s="21"/>
      <c r="T35" s="9"/>
      <c r="U35" s="21"/>
      <c r="V35" s="21" t="s">
        <v>173</v>
      </c>
      <c r="W35" s="9"/>
      <c r="X35" s="9"/>
      <c r="Y35" s="9"/>
    </row>
    <row r="36" spans="1:25" ht="130.05000000000001" customHeight="1" x14ac:dyDescent="0.25">
      <c r="A36" s="9">
        <f t="shared" si="0"/>
        <v>27</v>
      </c>
      <c r="B36" s="40"/>
      <c r="C36" s="40"/>
      <c r="D36" s="44"/>
      <c r="E36" s="50"/>
      <c r="F36" s="41"/>
      <c r="G36" s="40"/>
      <c r="H36" s="40"/>
      <c r="I36" s="41"/>
      <c r="J36" s="33"/>
      <c r="K36" s="47"/>
      <c r="L36" s="8" t="s">
        <v>94</v>
      </c>
      <c r="M36" s="33" t="s">
        <v>106</v>
      </c>
      <c r="N36" s="20">
        <v>46139</v>
      </c>
      <c r="O36" s="21" t="s">
        <v>58</v>
      </c>
      <c r="P36" s="21" t="s">
        <v>5</v>
      </c>
      <c r="Q36" s="21"/>
      <c r="R36" s="21"/>
      <c r="S36" s="21"/>
      <c r="T36" s="9"/>
      <c r="U36" s="21"/>
      <c r="V36" s="21" t="s">
        <v>174</v>
      </c>
      <c r="W36" s="9"/>
      <c r="X36" s="9"/>
      <c r="Y36" s="9"/>
    </row>
    <row r="37" spans="1:25" ht="130.05000000000001" customHeight="1" x14ac:dyDescent="0.25">
      <c r="A37" s="9">
        <f t="shared" si="0"/>
        <v>28</v>
      </c>
      <c r="B37" s="40"/>
      <c r="C37" s="40"/>
      <c r="D37" s="44"/>
      <c r="E37" s="50"/>
      <c r="F37" s="41"/>
      <c r="G37" s="40"/>
      <c r="H37" s="40"/>
      <c r="I37" s="41"/>
      <c r="J37" s="33"/>
      <c r="K37" s="47"/>
      <c r="L37" s="8" t="s">
        <v>49</v>
      </c>
      <c r="M37" s="33" t="s">
        <v>106</v>
      </c>
      <c r="N37" s="20">
        <v>46139</v>
      </c>
      <c r="O37" s="21" t="s">
        <v>58</v>
      </c>
      <c r="P37" s="21" t="s">
        <v>5</v>
      </c>
      <c r="Q37" s="21"/>
      <c r="R37" s="21"/>
      <c r="S37" s="21"/>
      <c r="T37" s="9"/>
      <c r="U37" s="21"/>
      <c r="V37" s="21" t="s">
        <v>175</v>
      </c>
      <c r="W37" s="9"/>
      <c r="X37" s="9"/>
      <c r="Y37" s="9"/>
    </row>
    <row r="38" spans="1:25" ht="130.05000000000001" customHeight="1" x14ac:dyDescent="0.25">
      <c r="A38" s="9">
        <f t="shared" si="0"/>
        <v>29</v>
      </c>
      <c r="B38" s="40"/>
      <c r="C38" s="40"/>
      <c r="D38" s="44"/>
      <c r="E38" s="50"/>
      <c r="F38" s="41"/>
      <c r="G38" s="40"/>
      <c r="H38" s="40"/>
      <c r="I38" s="41"/>
      <c r="J38" s="33"/>
      <c r="L38" s="8" t="s">
        <v>50</v>
      </c>
      <c r="M38" s="33" t="s">
        <v>106</v>
      </c>
      <c r="N38" s="20">
        <v>46139</v>
      </c>
      <c r="O38" s="21" t="s">
        <v>58</v>
      </c>
      <c r="P38" s="21" t="s">
        <v>5</v>
      </c>
      <c r="Q38" s="21"/>
      <c r="R38" s="21"/>
      <c r="S38" s="21"/>
      <c r="T38" s="9"/>
      <c r="U38" s="21"/>
      <c r="V38" s="21" t="s">
        <v>176</v>
      </c>
      <c r="W38" s="9"/>
      <c r="X38" s="9"/>
      <c r="Y38" s="9"/>
    </row>
    <row r="39" spans="1:25" ht="130.05000000000001" customHeight="1" x14ac:dyDescent="0.25">
      <c r="A39" s="9">
        <f t="shared" si="0"/>
        <v>30</v>
      </c>
      <c r="B39" s="40"/>
      <c r="C39" s="40"/>
      <c r="D39" s="44"/>
      <c r="E39" s="50"/>
      <c r="F39" s="41"/>
      <c r="G39" s="40"/>
      <c r="H39" s="40"/>
      <c r="I39" s="41"/>
      <c r="J39" s="33"/>
      <c r="K39" s="47"/>
      <c r="L39" s="8" t="s">
        <v>51</v>
      </c>
      <c r="M39" s="33" t="s">
        <v>106</v>
      </c>
      <c r="N39" s="20">
        <v>46139</v>
      </c>
      <c r="O39" s="21" t="s">
        <v>58</v>
      </c>
      <c r="P39" s="21" t="s">
        <v>5</v>
      </c>
      <c r="Q39" s="21"/>
      <c r="R39" s="21"/>
      <c r="S39" s="21"/>
      <c r="T39" s="9"/>
      <c r="U39" s="21"/>
      <c r="V39" s="21" t="s">
        <v>177</v>
      </c>
      <c r="W39" s="9"/>
      <c r="X39" s="9"/>
      <c r="Y39" s="9"/>
    </row>
    <row r="40" spans="1:25" ht="130.05000000000001" customHeight="1" x14ac:dyDescent="0.25">
      <c r="A40" s="9">
        <f t="shared" si="0"/>
        <v>31</v>
      </c>
      <c r="B40" s="40"/>
      <c r="C40" s="40"/>
      <c r="D40" s="44"/>
      <c r="E40" s="50"/>
      <c r="F40" s="41"/>
      <c r="G40" s="40"/>
      <c r="H40" s="40"/>
      <c r="I40" s="41"/>
      <c r="J40" s="33"/>
      <c r="K40" s="47"/>
      <c r="L40" s="8" t="s">
        <v>52</v>
      </c>
      <c r="M40" s="33" t="s">
        <v>106</v>
      </c>
      <c r="N40" s="20">
        <v>46139</v>
      </c>
      <c r="O40" s="21" t="s">
        <v>58</v>
      </c>
      <c r="P40" s="21" t="s">
        <v>5</v>
      </c>
      <c r="Q40" s="21"/>
      <c r="R40" s="21"/>
      <c r="S40" s="21"/>
      <c r="T40" s="9"/>
      <c r="U40" s="21"/>
      <c r="V40" s="21" t="s">
        <v>178</v>
      </c>
      <c r="W40" s="9"/>
      <c r="X40" s="9"/>
      <c r="Y40" s="9"/>
    </row>
    <row r="41" spans="1:25" ht="130.05000000000001" customHeight="1" x14ac:dyDescent="0.25">
      <c r="A41" s="9">
        <f t="shared" si="0"/>
        <v>32</v>
      </c>
      <c r="B41" s="40"/>
      <c r="C41" s="40"/>
      <c r="D41" s="44"/>
      <c r="E41" s="50"/>
      <c r="F41" s="41"/>
      <c r="G41" s="40"/>
      <c r="H41" s="40"/>
      <c r="I41" s="41"/>
      <c r="J41" s="33"/>
      <c r="K41" s="47"/>
      <c r="L41" s="8" t="s">
        <v>97</v>
      </c>
      <c r="M41" s="33" t="s">
        <v>106</v>
      </c>
      <c r="N41" s="20">
        <v>46139</v>
      </c>
      <c r="O41" s="21" t="s">
        <v>58</v>
      </c>
      <c r="P41" s="21" t="s">
        <v>5</v>
      </c>
      <c r="Q41" s="21"/>
      <c r="R41" s="21"/>
      <c r="S41" s="21"/>
      <c r="T41" s="9"/>
      <c r="U41" s="21"/>
      <c r="V41" s="21" t="s">
        <v>179</v>
      </c>
      <c r="W41" s="9"/>
      <c r="X41" s="9"/>
      <c r="Y41" s="9"/>
    </row>
    <row r="42" spans="1:25" ht="130.05000000000001" customHeight="1" x14ac:dyDescent="0.25">
      <c r="A42" s="9">
        <f t="shared" si="0"/>
        <v>33</v>
      </c>
      <c r="B42" s="40"/>
      <c r="C42" s="40"/>
      <c r="D42" s="44"/>
      <c r="E42" s="50"/>
      <c r="F42" s="41"/>
      <c r="G42" s="40"/>
      <c r="H42" s="40"/>
      <c r="I42" s="41"/>
      <c r="J42" s="33"/>
      <c r="K42" s="47"/>
      <c r="L42" s="8" t="s">
        <v>53</v>
      </c>
      <c r="M42" s="33" t="s">
        <v>106</v>
      </c>
      <c r="N42" s="20">
        <v>46139</v>
      </c>
      <c r="O42" s="21" t="s">
        <v>58</v>
      </c>
      <c r="P42" s="21" t="s">
        <v>5</v>
      </c>
      <c r="Q42" s="21"/>
      <c r="R42" s="21"/>
      <c r="S42" s="21"/>
      <c r="T42" s="9"/>
      <c r="U42" s="21"/>
      <c r="V42" s="21" t="s">
        <v>180</v>
      </c>
      <c r="W42" s="9"/>
      <c r="X42" s="9"/>
      <c r="Y42" s="9"/>
    </row>
    <row r="43" spans="1:25" ht="130.05000000000001" customHeight="1" x14ac:dyDescent="0.25">
      <c r="A43" s="9">
        <f t="shared" si="0"/>
        <v>34</v>
      </c>
      <c r="B43" s="40"/>
      <c r="C43" s="40"/>
      <c r="D43" s="44"/>
      <c r="E43" s="50"/>
      <c r="F43" s="41"/>
      <c r="G43" s="40"/>
      <c r="H43" s="40"/>
      <c r="I43" s="41"/>
      <c r="J43" s="33"/>
      <c r="L43" s="8" t="s">
        <v>54</v>
      </c>
      <c r="M43" s="33" t="s">
        <v>106</v>
      </c>
      <c r="N43" s="20">
        <v>46139</v>
      </c>
      <c r="O43" s="21" t="s">
        <v>58</v>
      </c>
      <c r="P43" s="21" t="s">
        <v>5</v>
      </c>
      <c r="Q43" s="21"/>
      <c r="R43" s="21"/>
      <c r="S43" s="21"/>
      <c r="T43" s="9"/>
      <c r="U43" s="21"/>
      <c r="V43" s="21" t="s">
        <v>181</v>
      </c>
      <c r="W43" s="9"/>
      <c r="X43" s="9"/>
      <c r="Y43" s="9"/>
    </row>
    <row r="44" spans="1:25" ht="130.05000000000001" customHeight="1" x14ac:dyDescent="0.25">
      <c r="A44" s="9">
        <f t="shared" si="0"/>
        <v>35</v>
      </c>
      <c r="B44" s="40"/>
      <c r="C44" s="40"/>
      <c r="D44" s="44"/>
      <c r="E44" s="50"/>
      <c r="F44" s="41"/>
      <c r="G44" s="40"/>
      <c r="H44" s="40"/>
      <c r="I44" s="41"/>
      <c r="J44" s="33"/>
      <c r="K44" s="47"/>
      <c r="L44" s="8" t="s">
        <v>55</v>
      </c>
      <c r="M44" s="33" t="s">
        <v>106</v>
      </c>
      <c r="N44" s="20">
        <v>46139</v>
      </c>
      <c r="O44" s="21" t="s">
        <v>58</v>
      </c>
      <c r="P44" s="21" t="s">
        <v>5</v>
      </c>
      <c r="Q44" s="21"/>
      <c r="R44" s="21"/>
      <c r="S44" s="21"/>
      <c r="T44" s="9"/>
      <c r="U44" s="21"/>
      <c r="V44" s="21" t="s">
        <v>182</v>
      </c>
      <c r="W44" s="9"/>
      <c r="X44" s="9"/>
      <c r="Y44" s="9"/>
    </row>
    <row r="45" spans="1:25" ht="130.05000000000001" customHeight="1" x14ac:dyDescent="0.25">
      <c r="A45" s="9">
        <f t="shared" si="0"/>
        <v>36</v>
      </c>
      <c r="B45" s="40"/>
      <c r="C45" s="40"/>
      <c r="D45" s="44"/>
      <c r="E45" s="50"/>
      <c r="F45" s="41"/>
      <c r="G45" s="40"/>
      <c r="H45" s="40"/>
      <c r="I45" s="41"/>
      <c r="J45" s="33"/>
      <c r="K45" s="47"/>
      <c r="L45" s="8" t="s">
        <v>56</v>
      </c>
      <c r="M45" s="33" t="s">
        <v>106</v>
      </c>
      <c r="N45" s="20">
        <v>46139</v>
      </c>
      <c r="O45" s="21" t="s">
        <v>58</v>
      </c>
      <c r="P45" s="21" t="s">
        <v>5</v>
      </c>
      <c r="Q45" s="21"/>
      <c r="R45" s="21"/>
      <c r="S45" s="21"/>
      <c r="T45" s="9"/>
      <c r="U45" s="21"/>
      <c r="V45" s="21" t="s">
        <v>183</v>
      </c>
      <c r="W45" s="9"/>
      <c r="X45" s="9"/>
      <c r="Y45" s="9"/>
    </row>
    <row r="46" spans="1:25" ht="130.05000000000001" customHeight="1" x14ac:dyDescent="0.25">
      <c r="A46" s="9">
        <f t="shared" si="0"/>
        <v>37</v>
      </c>
      <c r="B46" s="40"/>
      <c r="C46" s="40"/>
      <c r="D46" s="44"/>
      <c r="E46" s="50"/>
      <c r="F46" s="41"/>
      <c r="G46" s="40"/>
      <c r="H46" s="40"/>
      <c r="I46" s="41"/>
      <c r="J46" s="33"/>
      <c r="L46" s="8" t="s">
        <v>169</v>
      </c>
      <c r="M46" s="33" t="s">
        <v>106</v>
      </c>
      <c r="N46" s="20">
        <v>46139</v>
      </c>
      <c r="O46" s="21" t="s">
        <v>58</v>
      </c>
      <c r="P46" s="21" t="s">
        <v>5</v>
      </c>
      <c r="Q46" s="21"/>
      <c r="R46" s="21"/>
      <c r="S46" s="21"/>
      <c r="T46" s="9"/>
      <c r="U46" s="21"/>
      <c r="V46" s="21" t="s">
        <v>184</v>
      </c>
      <c r="W46" s="9"/>
      <c r="X46" s="9"/>
      <c r="Y46" s="9"/>
    </row>
    <row r="47" spans="1:25" ht="130.05000000000001" customHeight="1" x14ac:dyDescent="0.25">
      <c r="A47" s="9">
        <f t="shared" si="0"/>
        <v>38</v>
      </c>
      <c r="B47" s="40"/>
      <c r="C47" s="40"/>
      <c r="D47" s="44"/>
      <c r="E47" s="50"/>
      <c r="F47" s="41"/>
      <c r="G47" s="40"/>
      <c r="H47" s="40"/>
      <c r="I47" s="41"/>
      <c r="J47" s="33"/>
      <c r="K47" s="47"/>
      <c r="L47" s="8" t="s">
        <v>170</v>
      </c>
      <c r="M47" s="33" t="s">
        <v>106</v>
      </c>
      <c r="N47" s="20">
        <v>46139</v>
      </c>
      <c r="O47" s="21" t="s">
        <v>58</v>
      </c>
      <c r="P47" s="21" t="s">
        <v>5</v>
      </c>
      <c r="Q47" s="21"/>
      <c r="R47" s="21"/>
      <c r="S47" s="21"/>
      <c r="T47" s="9"/>
      <c r="U47" s="21"/>
      <c r="V47" s="21" t="s">
        <v>185</v>
      </c>
      <c r="W47" s="9"/>
      <c r="X47" s="9"/>
      <c r="Y47" s="9"/>
    </row>
    <row r="48" spans="1:25" ht="130.05000000000001" customHeight="1" x14ac:dyDescent="0.25">
      <c r="A48" s="9">
        <f t="shared" si="0"/>
        <v>39</v>
      </c>
      <c r="B48" s="42"/>
      <c r="C48" s="42"/>
      <c r="D48" s="53"/>
      <c r="E48" s="51"/>
      <c r="F48" s="43"/>
      <c r="G48" s="42"/>
      <c r="H48" s="42"/>
      <c r="I48" s="43"/>
      <c r="J48" s="33"/>
      <c r="K48" s="48"/>
      <c r="L48" s="8" t="s">
        <v>171</v>
      </c>
      <c r="M48" s="33" t="s">
        <v>106</v>
      </c>
      <c r="N48" s="20">
        <v>46139</v>
      </c>
      <c r="O48" s="21" t="s">
        <v>58</v>
      </c>
      <c r="P48" s="21" t="s">
        <v>5</v>
      </c>
      <c r="Q48" s="21"/>
      <c r="R48" s="21"/>
      <c r="S48" s="21"/>
      <c r="T48" s="9"/>
      <c r="U48" s="21"/>
      <c r="V48" s="21" t="s">
        <v>186</v>
      </c>
      <c r="W48" s="9"/>
      <c r="X48" s="9"/>
      <c r="Y48" s="9"/>
    </row>
    <row r="49" spans="1:25" ht="130.05000000000001" customHeight="1" x14ac:dyDescent="0.25">
      <c r="A49" s="9">
        <f t="shared" si="0"/>
        <v>40</v>
      </c>
      <c r="B49" s="33" t="s">
        <v>61</v>
      </c>
      <c r="C49" s="33" t="s">
        <v>57</v>
      </c>
      <c r="D49" s="39" t="s">
        <v>65</v>
      </c>
      <c r="E49" s="35" t="s">
        <v>62</v>
      </c>
      <c r="F49" s="34" t="s">
        <v>35</v>
      </c>
      <c r="G49" s="33" t="s">
        <v>75</v>
      </c>
      <c r="H49" s="33" t="s">
        <v>99</v>
      </c>
      <c r="I49" s="34" t="s">
        <v>36</v>
      </c>
      <c r="J49" s="33"/>
      <c r="K49" s="36" t="s">
        <v>134</v>
      </c>
      <c r="L49" s="8" t="s">
        <v>47</v>
      </c>
      <c r="M49" s="33" t="s">
        <v>103</v>
      </c>
      <c r="N49" s="20">
        <v>46140</v>
      </c>
      <c r="O49" s="21" t="s">
        <v>58</v>
      </c>
      <c r="P49" s="21" t="s">
        <v>5</v>
      </c>
      <c r="Q49" s="21"/>
      <c r="R49" s="21"/>
      <c r="S49" s="21"/>
      <c r="T49" s="9"/>
      <c r="U49" s="21"/>
      <c r="V49" s="21" t="s">
        <v>187</v>
      </c>
      <c r="W49" s="9"/>
      <c r="X49" s="9"/>
      <c r="Y49" s="9"/>
    </row>
    <row r="50" spans="1:25" ht="130.05000000000001" customHeight="1" x14ac:dyDescent="0.25">
      <c r="A50" s="9">
        <f t="shared" si="0"/>
        <v>41</v>
      </c>
      <c r="B50" s="40"/>
      <c r="C50" s="40"/>
      <c r="D50" s="44"/>
      <c r="E50" s="50"/>
      <c r="F50" s="41"/>
      <c r="G50" s="40"/>
      <c r="H50" s="40"/>
      <c r="I50" s="41"/>
      <c r="J50" s="33"/>
      <c r="K50" s="47"/>
      <c r="L50" s="8" t="s">
        <v>48</v>
      </c>
      <c r="M50" s="33" t="s">
        <v>103</v>
      </c>
      <c r="N50" s="20">
        <v>46140</v>
      </c>
      <c r="O50" s="21" t="s">
        <v>58</v>
      </c>
      <c r="P50" s="21" t="s">
        <v>5</v>
      </c>
      <c r="Q50" s="21"/>
      <c r="R50" s="21"/>
      <c r="S50" s="21"/>
      <c r="T50" s="9"/>
      <c r="U50" s="21"/>
      <c r="V50" s="21" t="s">
        <v>188</v>
      </c>
      <c r="W50" s="9"/>
      <c r="X50" s="9"/>
      <c r="Y50" s="9"/>
    </row>
    <row r="51" spans="1:25" ht="130.05000000000001" customHeight="1" x14ac:dyDescent="0.25">
      <c r="A51" s="9">
        <f t="shared" si="0"/>
        <v>42</v>
      </c>
      <c r="B51" s="40"/>
      <c r="C51" s="40"/>
      <c r="D51" s="44"/>
      <c r="E51" s="50"/>
      <c r="F51" s="41"/>
      <c r="G51" s="40"/>
      <c r="H51" s="40"/>
      <c r="I51" s="41"/>
      <c r="J51" s="33" t="s">
        <v>101</v>
      </c>
      <c r="K51" s="47"/>
      <c r="L51" s="8" t="s">
        <v>100</v>
      </c>
      <c r="M51" s="33" t="s">
        <v>104</v>
      </c>
      <c r="N51" s="20">
        <v>46140</v>
      </c>
      <c r="O51" s="21" t="s">
        <v>58</v>
      </c>
      <c r="P51" s="21" t="s">
        <v>5</v>
      </c>
      <c r="Q51" s="21"/>
      <c r="R51" s="21"/>
      <c r="S51" s="21"/>
      <c r="T51" s="9"/>
      <c r="U51" s="21"/>
      <c r="V51" s="21" t="s">
        <v>189</v>
      </c>
      <c r="W51" s="9"/>
      <c r="X51" s="9"/>
      <c r="Y51" s="9"/>
    </row>
    <row r="52" spans="1:25" ht="130.05000000000001" customHeight="1" x14ac:dyDescent="0.25">
      <c r="A52" s="9">
        <f t="shared" si="0"/>
        <v>43</v>
      </c>
      <c r="B52" s="40"/>
      <c r="C52" s="40"/>
      <c r="D52" s="44"/>
      <c r="E52" s="50"/>
      <c r="F52" s="41"/>
      <c r="G52" s="40"/>
      <c r="H52" s="40"/>
      <c r="I52" s="41"/>
      <c r="J52" s="33"/>
      <c r="K52" s="47"/>
      <c r="L52" s="8" t="s">
        <v>49</v>
      </c>
      <c r="M52" s="33" t="s">
        <v>103</v>
      </c>
      <c r="N52" s="20">
        <v>46140</v>
      </c>
      <c r="O52" s="21" t="s">
        <v>58</v>
      </c>
      <c r="P52" s="21" t="s">
        <v>5</v>
      </c>
      <c r="Q52" s="21"/>
      <c r="R52" s="21"/>
      <c r="S52" s="21"/>
      <c r="T52" s="9"/>
      <c r="U52" s="21"/>
      <c r="V52" s="21" t="s">
        <v>190</v>
      </c>
      <c r="W52" s="9"/>
      <c r="X52" s="9"/>
      <c r="Y52" s="9"/>
    </row>
    <row r="53" spans="1:25" ht="130.05000000000001" customHeight="1" x14ac:dyDescent="0.25">
      <c r="A53" s="9">
        <f t="shared" si="0"/>
        <v>44</v>
      </c>
      <c r="B53" s="40"/>
      <c r="C53" s="40"/>
      <c r="D53" s="44"/>
      <c r="E53" s="50"/>
      <c r="F53" s="41"/>
      <c r="G53" s="40"/>
      <c r="H53" s="40"/>
      <c r="I53" s="41"/>
      <c r="J53" s="33"/>
      <c r="L53" s="8" t="s">
        <v>50</v>
      </c>
      <c r="M53" s="33" t="s">
        <v>103</v>
      </c>
      <c r="N53" s="20">
        <v>46140</v>
      </c>
      <c r="O53" s="21" t="s">
        <v>58</v>
      </c>
      <c r="P53" s="21" t="s">
        <v>5</v>
      </c>
      <c r="Q53" s="21"/>
      <c r="R53" s="21"/>
      <c r="S53" s="21"/>
      <c r="T53" s="9"/>
      <c r="U53" s="21"/>
      <c r="V53" s="21" t="s">
        <v>191</v>
      </c>
      <c r="W53" s="9"/>
      <c r="X53" s="9"/>
      <c r="Y53" s="9"/>
    </row>
    <row r="54" spans="1:25" ht="130.05000000000001" customHeight="1" x14ac:dyDescent="0.25">
      <c r="A54" s="9">
        <f t="shared" si="0"/>
        <v>45</v>
      </c>
      <c r="B54" s="40"/>
      <c r="C54" s="40"/>
      <c r="D54" s="44"/>
      <c r="E54" s="50"/>
      <c r="F54" s="41"/>
      <c r="G54" s="40"/>
      <c r="H54" s="40"/>
      <c r="I54" s="41"/>
      <c r="J54" s="33"/>
      <c r="K54" s="47"/>
      <c r="L54" s="8" t="s">
        <v>51</v>
      </c>
      <c r="M54" s="33" t="s">
        <v>103</v>
      </c>
      <c r="N54" s="20">
        <v>46140</v>
      </c>
      <c r="O54" s="21" t="s">
        <v>58</v>
      </c>
      <c r="P54" s="21" t="s">
        <v>5</v>
      </c>
      <c r="Q54" s="21"/>
      <c r="R54" s="21"/>
      <c r="S54" s="21"/>
      <c r="T54" s="9"/>
      <c r="U54" s="21"/>
      <c r="V54" s="21" t="s">
        <v>192</v>
      </c>
      <c r="W54" s="9"/>
      <c r="X54" s="9"/>
      <c r="Y54" s="9"/>
    </row>
    <row r="55" spans="1:25" ht="130.05000000000001" customHeight="1" x14ac:dyDescent="0.25">
      <c r="A55" s="9">
        <f t="shared" si="0"/>
        <v>46</v>
      </c>
      <c r="B55" s="40"/>
      <c r="C55" s="40"/>
      <c r="D55" s="44"/>
      <c r="E55" s="50"/>
      <c r="F55" s="41"/>
      <c r="G55" s="40"/>
      <c r="H55" s="40"/>
      <c r="I55" s="41"/>
      <c r="J55" s="33"/>
      <c r="K55" s="47"/>
      <c r="L55" s="8" t="s">
        <v>52</v>
      </c>
      <c r="M55" s="33" t="s">
        <v>103</v>
      </c>
      <c r="N55" s="20">
        <v>46140</v>
      </c>
      <c r="O55" s="21" t="s">
        <v>58</v>
      </c>
      <c r="P55" s="21" t="s">
        <v>5</v>
      </c>
      <c r="Q55" s="21"/>
      <c r="R55" s="21"/>
      <c r="S55" s="21"/>
      <c r="T55" s="9"/>
      <c r="U55" s="21"/>
      <c r="V55" s="21" t="s">
        <v>193</v>
      </c>
      <c r="W55" s="9"/>
      <c r="X55" s="9"/>
      <c r="Y55" s="9"/>
    </row>
    <row r="56" spans="1:25" ht="130.05000000000001" customHeight="1" x14ac:dyDescent="0.25">
      <c r="A56" s="9">
        <f t="shared" si="0"/>
        <v>47</v>
      </c>
      <c r="B56" s="40"/>
      <c r="C56" s="40"/>
      <c r="D56" s="44"/>
      <c r="E56" s="50"/>
      <c r="F56" s="41"/>
      <c r="G56" s="40"/>
      <c r="H56" s="40"/>
      <c r="I56" s="41"/>
      <c r="J56" s="33" t="s">
        <v>101</v>
      </c>
      <c r="K56" s="47"/>
      <c r="L56" s="8" t="s">
        <v>102</v>
      </c>
      <c r="M56" s="33" t="s">
        <v>104</v>
      </c>
      <c r="N56" s="20">
        <v>46140</v>
      </c>
      <c r="O56" s="21" t="s">
        <v>58</v>
      </c>
      <c r="P56" s="21" t="s">
        <v>5</v>
      </c>
      <c r="Q56" s="21"/>
      <c r="R56" s="21"/>
      <c r="S56" s="21"/>
      <c r="T56" s="9"/>
      <c r="U56" s="21"/>
      <c r="V56" s="21" t="s">
        <v>194</v>
      </c>
      <c r="W56" s="9"/>
      <c r="X56" s="9"/>
      <c r="Y56" s="9"/>
    </row>
    <row r="57" spans="1:25" ht="130.05000000000001" customHeight="1" x14ac:dyDescent="0.25">
      <c r="A57" s="9">
        <f t="shared" si="0"/>
        <v>48</v>
      </c>
      <c r="B57" s="40"/>
      <c r="C57" s="40"/>
      <c r="D57" s="44"/>
      <c r="E57" s="50"/>
      <c r="F57" s="41"/>
      <c r="G57" s="40"/>
      <c r="H57" s="40"/>
      <c r="I57" s="41"/>
      <c r="J57" s="33"/>
      <c r="K57" s="47"/>
      <c r="L57" s="8" t="s">
        <v>53</v>
      </c>
      <c r="M57" s="33" t="s">
        <v>103</v>
      </c>
      <c r="N57" s="20">
        <v>46140</v>
      </c>
      <c r="O57" s="21" t="s">
        <v>58</v>
      </c>
      <c r="P57" s="21" t="s">
        <v>5</v>
      </c>
      <c r="Q57" s="21"/>
      <c r="R57" s="21"/>
      <c r="S57" s="21"/>
      <c r="T57" s="9"/>
      <c r="U57" s="21"/>
      <c r="V57" s="21" t="s">
        <v>195</v>
      </c>
      <c r="W57" s="9"/>
      <c r="X57" s="9"/>
      <c r="Y57" s="9"/>
    </row>
    <row r="58" spans="1:25" ht="130.05000000000001" customHeight="1" x14ac:dyDescent="0.25">
      <c r="A58" s="9">
        <f t="shared" si="0"/>
        <v>49</v>
      </c>
      <c r="B58" s="40"/>
      <c r="C58" s="40"/>
      <c r="D58" s="44"/>
      <c r="E58" s="50"/>
      <c r="F58" s="41"/>
      <c r="G58" s="40"/>
      <c r="H58" s="40"/>
      <c r="I58" s="41"/>
      <c r="J58" s="33"/>
      <c r="L58" s="8" t="s">
        <v>54</v>
      </c>
      <c r="M58" s="33" t="s">
        <v>103</v>
      </c>
      <c r="N58" s="20">
        <v>46140</v>
      </c>
      <c r="O58" s="21" t="s">
        <v>58</v>
      </c>
      <c r="P58" s="21" t="s">
        <v>5</v>
      </c>
      <c r="Q58" s="21"/>
      <c r="R58" s="21"/>
      <c r="S58" s="21"/>
      <c r="T58" s="9"/>
      <c r="U58" s="21"/>
      <c r="V58" s="21" t="s">
        <v>196</v>
      </c>
      <c r="W58" s="9"/>
      <c r="X58" s="9"/>
      <c r="Y58" s="9"/>
    </row>
    <row r="59" spans="1:25" ht="130.05000000000001" customHeight="1" x14ac:dyDescent="0.25">
      <c r="A59" s="9">
        <f t="shared" si="0"/>
        <v>50</v>
      </c>
      <c r="B59" s="40"/>
      <c r="C59" s="40"/>
      <c r="D59" s="44"/>
      <c r="E59" s="50"/>
      <c r="F59" s="41"/>
      <c r="G59" s="40"/>
      <c r="H59" s="40"/>
      <c r="I59" s="41"/>
      <c r="J59" s="33"/>
      <c r="K59" s="47"/>
      <c r="L59" s="8" t="s">
        <v>55</v>
      </c>
      <c r="M59" s="33" t="s">
        <v>103</v>
      </c>
      <c r="N59" s="20">
        <v>46140</v>
      </c>
      <c r="O59" s="21" t="s">
        <v>58</v>
      </c>
      <c r="P59" s="21" t="s">
        <v>5</v>
      </c>
      <c r="Q59" s="21"/>
      <c r="R59" s="21"/>
      <c r="S59" s="21"/>
      <c r="T59" s="9"/>
      <c r="U59" s="21"/>
      <c r="V59" s="21" t="s">
        <v>197</v>
      </c>
      <c r="W59" s="9"/>
      <c r="X59" s="9"/>
      <c r="Y59" s="9"/>
    </row>
    <row r="60" spans="1:25" ht="130.05000000000001" customHeight="1" x14ac:dyDescent="0.25">
      <c r="A60" s="9">
        <f t="shared" si="0"/>
        <v>51</v>
      </c>
      <c r="B60" s="40"/>
      <c r="C60" s="40"/>
      <c r="D60" s="44"/>
      <c r="E60" s="50"/>
      <c r="F60" s="41"/>
      <c r="G60" s="40"/>
      <c r="H60" s="40"/>
      <c r="I60" s="41"/>
      <c r="J60" s="33"/>
      <c r="K60" s="47"/>
      <c r="L60" s="8" t="s">
        <v>56</v>
      </c>
      <c r="M60" s="33" t="s">
        <v>103</v>
      </c>
      <c r="N60" s="20">
        <v>46140</v>
      </c>
      <c r="O60" s="21" t="s">
        <v>58</v>
      </c>
      <c r="P60" s="21" t="s">
        <v>5</v>
      </c>
      <c r="Q60" s="21"/>
      <c r="R60" s="21"/>
      <c r="S60" s="21"/>
      <c r="T60" s="9"/>
      <c r="U60" s="21"/>
      <c r="V60" s="21" t="s">
        <v>198</v>
      </c>
      <c r="W60" s="9"/>
      <c r="X60" s="9"/>
      <c r="Y60" s="9"/>
    </row>
    <row r="61" spans="1:25" ht="130.05000000000001" customHeight="1" x14ac:dyDescent="0.25">
      <c r="A61" s="9">
        <f t="shared" si="0"/>
        <v>52</v>
      </c>
      <c r="B61" s="40"/>
      <c r="C61" s="40"/>
      <c r="D61" s="44"/>
      <c r="E61" s="50"/>
      <c r="F61" s="41"/>
      <c r="G61" s="40"/>
      <c r="H61" s="40"/>
      <c r="I61" s="41"/>
      <c r="J61" s="33"/>
      <c r="L61" s="8" t="s">
        <v>169</v>
      </c>
      <c r="M61" s="33" t="s">
        <v>103</v>
      </c>
      <c r="N61" s="20">
        <v>46140</v>
      </c>
      <c r="O61" s="21" t="s">
        <v>58</v>
      </c>
      <c r="P61" s="21" t="s">
        <v>5</v>
      </c>
      <c r="Q61" s="21"/>
      <c r="R61" s="21"/>
      <c r="S61" s="21"/>
      <c r="T61" s="9"/>
      <c r="U61" s="21"/>
      <c r="V61" s="21" t="s">
        <v>199</v>
      </c>
      <c r="W61" s="9"/>
      <c r="X61" s="9"/>
      <c r="Y61" s="9"/>
    </row>
    <row r="62" spans="1:25" ht="130.05000000000001" customHeight="1" x14ac:dyDescent="0.25">
      <c r="A62" s="9">
        <f t="shared" si="0"/>
        <v>53</v>
      </c>
      <c r="B62" s="40"/>
      <c r="C62" s="40"/>
      <c r="D62" s="44"/>
      <c r="E62" s="50"/>
      <c r="F62" s="41"/>
      <c r="G62" s="40"/>
      <c r="H62" s="40"/>
      <c r="I62" s="41"/>
      <c r="J62" s="33"/>
      <c r="K62" s="47"/>
      <c r="L62" s="8" t="s">
        <v>170</v>
      </c>
      <c r="M62" s="33" t="s">
        <v>103</v>
      </c>
      <c r="N62" s="20">
        <v>46140</v>
      </c>
      <c r="O62" s="21" t="s">
        <v>58</v>
      </c>
      <c r="P62" s="21" t="s">
        <v>5</v>
      </c>
      <c r="Q62" s="21"/>
      <c r="R62" s="21"/>
      <c r="S62" s="21"/>
      <c r="T62" s="9"/>
      <c r="U62" s="21"/>
      <c r="V62" s="21" t="s">
        <v>200</v>
      </c>
      <c r="W62" s="9"/>
      <c r="X62" s="9"/>
      <c r="Y62" s="9"/>
    </row>
    <row r="63" spans="1:25" ht="130.05000000000001" customHeight="1" x14ac:dyDescent="0.25">
      <c r="A63" s="9">
        <f t="shared" si="0"/>
        <v>54</v>
      </c>
      <c r="B63" s="42"/>
      <c r="C63" s="42"/>
      <c r="D63" s="53"/>
      <c r="E63" s="51"/>
      <c r="F63" s="43"/>
      <c r="G63" s="42"/>
      <c r="H63" s="42"/>
      <c r="I63" s="43"/>
      <c r="J63" s="68"/>
      <c r="K63" s="48"/>
      <c r="L63" s="8" t="s">
        <v>171</v>
      </c>
      <c r="M63" s="33" t="s">
        <v>103</v>
      </c>
      <c r="N63" s="20">
        <v>46140</v>
      </c>
      <c r="O63" s="21" t="s">
        <v>58</v>
      </c>
      <c r="P63" s="21" t="s">
        <v>5</v>
      </c>
      <c r="Q63" s="21"/>
      <c r="R63" s="21"/>
      <c r="S63" s="21"/>
      <c r="T63" s="9"/>
      <c r="U63" s="21"/>
      <c r="V63" s="21" t="s">
        <v>201</v>
      </c>
      <c r="W63" s="9"/>
      <c r="X63" s="9"/>
      <c r="Y63" s="9"/>
    </row>
    <row r="64" spans="1:25" ht="130.05000000000001" customHeight="1" x14ac:dyDescent="0.25">
      <c r="A64" s="9">
        <f t="shared" si="0"/>
        <v>55</v>
      </c>
      <c r="B64" s="33" t="s">
        <v>61</v>
      </c>
      <c r="C64" s="33" t="s">
        <v>57</v>
      </c>
      <c r="D64" s="33" t="s">
        <v>66</v>
      </c>
      <c r="E64" s="58" t="s">
        <v>105</v>
      </c>
      <c r="F64" s="34" t="s">
        <v>35</v>
      </c>
      <c r="G64" s="33" t="s">
        <v>75</v>
      </c>
      <c r="H64" s="33" t="s">
        <v>74</v>
      </c>
      <c r="I64" s="34" t="s">
        <v>36</v>
      </c>
      <c r="J64" s="33"/>
      <c r="K64" s="36" t="s">
        <v>133</v>
      </c>
      <c r="L64" s="22">
        <v>998</v>
      </c>
      <c r="M64" s="30" t="s">
        <v>106</v>
      </c>
      <c r="N64" s="20">
        <v>46140</v>
      </c>
      <c r="O64" s="21" t="s">
        <v>58</v>
      </c>
      <c r="P64" s="21" t="s">
        <v>5</v>
      </c>
      <c r="Q64" s="21"/>
      <c r="R64" s="21"/>
      <c r="S64" s="21"/>
      <c r="T64" s="9"/>
      <c r="U64" s="21"/>
      <c r="V64" s="21" t="s">
        <v>219</v>
      </c>
      <c r="W64" s="9"/>
      <c r="X64" s="9"/>
      <c r="Y64" s="9"/>
    </row>
    <row r="65" spans="1:25" ht="130.05000000000001" customHeight="1" x14ac:dyDescent="0.25">
      <c r="A65" s="9">
        <f t="shared" si="0"/>
        <v>56</v>
      </c>
      <c r="B65" s="40"/>
      <c r="C65" s="40"/>
      <c r="D65" s="40"/>
      <c r="E65" s="50"/>
      <c r="F65" s="41"/>
      <c r="G65" s="40"/>
      <c r="H65" s="40"/>
      <c r="I65" s="41"/>
      <c r="J65" s="40"/>
      <c r="K65" s="47"/>
      <c r="L65" s="22">
        <v>999</v>
      </c>
      <c r="M65" s="30" t="s">
        <v>106</v>
      </c>
      <c r="N65" s="20">
        <v>46140</v>
      </c>
      <c r="O65" s="21" t="s">
        <v>58</v>
      </c>
      <c r="P65" s="21" t="s">
        <v>5</v>
      </c>
      <c r="Q65" s="21"/>
      <c r="R65" s="21"/>
      <c r="S65" s="21"/>
      <c r="T65" s="9"/>
      <c r="U65" s="21"/>
      <c r="V65" s="21" t="s">
        <v>220</v>
      </c>
      <c r="W65" s="9"/>
      <c r="X65" s="9"/>
      <c r="Y65" s="9"/>
    </row>
    <row r="66" spans="1:25" ht="130.05000000000001" customHeight="1" x14ac:dyDescent="0.25">
      <c r="A66" s="9">
        <f t="shared" si="0"/>
        <v>57</v>
      </c>
      <c r="B66" s="42"/>
      <c r="C66" s="42"/>
      <c r="D66" s="42"/>
      <c r="E66" s="51"/>
      <c r="F66" s="43"/>
      <c r="G66" s="42"/>
      <c r="H66" s="42"/>
      <c r="I66" s="43"/>
      <c r="J66" s="42"/>
      <c r="K66" s="48"/>
      <c r="L66" s="22">
        <v>1000</v>
      </c>
      <c r="M66" s="31" t="s">
        <v>107</v>
      </c>
      <c r="N66" s="20">
        <v>46140</v>
      </c>
      <c r="O66" s="21" t="s">
        <v>58</v>
      </c>
      <c r="P66" s="21" t="s">
        <v>5</v>
      </c>
      <c r="Q66" s="21"/>
      <c r="R66" s="21"/>
      <c r="S66" s="21"/>
      <c r="T66" s="9"/>
      <c r="U66" s="21"/>
      <c r="V66" s="21" t="s">
        <v>221</v>
      </c>
      <c r="W66" s="9"/>
      <c r="X66" s="9"/>
      <c r="Y66" s="9"/>
    </row>
    <row r="67" spans="1:25" ht="130.05000000000001" customHeight="1" x14ac:dyDescent="0.25">
      <c r="A67" s="9">
        <f t="shared" si="0"/>
        <v>58</v>
      </c>
      <c r="B67" s="33" t="s">
        <v>61</v>
      </c>
      <c r="C67" s="33" t="s">
        <v>57</v>
      </c>
      <c r="D67" s="33" t="s">
        <v>66</v>
      </c>
      <c r="E67" s="33" t="s">
        <v>108</v>
      </c>
      <c r="F67" s="34" t="s">
        <v>35</v>
      </c>
      <c r="G67" s="33" t="s">
        <v>75</v>
      </c>
      <c r="H67" s="33" t="s">
        <v>76</v>
      </c>
      <c r="I67" s="34" t="s">
        <v>36</v>
      </c>
      <c r="J67" s="33"/>
      <c r="K67" s="36" t="s">
        <v>133</v>
      </c>
      <c r="L67" s="31" t="s">
        <v>109</v>
      </c>
      <c r="M67" s="30" t="s">
        <v>106</v>
      </c>
      <c r="N67" s="20">
        <v>46140</v>
      </c>
      <c r="O67" s="21" t="s">
        <v>58</v>
      </c>
      <c r="P67" s="21" t="s">
        <v>5</v>
      </c>
      <c r="Q67" s="21"/>
      <c r="R67" s="21"/>
      <c r="S67" s="21"/>
      <c r="T67" s="9"/>
      <c r="U67" s="21"/>
      <c r="V67" s="21" t="s">
        <v>222</v>
      </c>
      <c r="W67" s="9"/>
      <c r="X67" s="9"/>
      <c r="Y67" s="9"/>
    </row>
    <row r="68" spans="1:25" ht="130.05000000000001" customHeight="1" x14ac:dyDescent="0.25">
      <c r="A68" s="9">
        <f t="shared" si="0"/>
        <v>59</v>
      </c>
      <c r="B68" s="40"/>
      <c r="C68" s="40"/>
      <c r="D68" s="40"/>
      <c r="E68" s="50"/>
      <c r="F68" s="41"/>
      <c r="G68" s="40"/>
      <c r="H68" s="40"/>
      <c r="I68" s="41"/>
      <c r="J68" s="40"/>
      <c r="K68" s="47"/>
      <c r="L68" s="31" t="s">
        <v>110</v>
      </c>
      <c r="M68" s="30" t="s">
        <v>106</v>
      </c>
      <c r="N68" s="20">
        <v>46140</v>
      </c>
      <c r="O68" s="21" t="s">
        <v>58</v>
      </c>
      <c r="P68" s="21" t="s">
        <v>5</v>
      </c>
      <c r="Q68" s="21"/>
      <c r="R68" s="21"/>
      <c r="S68" s="21"/>
      <c r="T68" s="9"/>
      <c r="U68" s="21"/>
      <c r="V68" s="21" t="s">
        <v>223</v>
      </c>
      <c r="W68" s="9"/>
      <c r="X68" s="9"/>
      <c r="Y68" s="9"/>
    </row>
    <row r="69" spans="1:25" ht="130.05000000000001" customHeight="1" x14ac:dyDescent="0.25">
      <c r="A69" s="9">
        <f t="shared" si="0"/>
        <v>60</v>
      </c>
      <c r="B69" s="42"/>
      <c r="C69" s="42"/>
      <c r="D69" s="42"/>
      <c r="E69" s="51"/>
      <c r="F69" s="43"/>
      <c r="G69" s="42"/>
      <c r="H69" s="42"/>
      <c r="I69" s="43"/>
      <c r="J69" s="42"/>
      <c r="K69" s="48"/>
      <c r="L69" s="31" t="s">
        <v>111</v>
      </c>
      <c r="M69" s="31" t="s">
        <v>112</v>
      </c>
      <c r="N69" s="20">
        <v>46140</v>
      </c>
      <c r="O69" s="21" t="s">
        <v>58</v>
      </c>
      <c r="P69" s="21" t="s">
        <v>5</v>
      </c>
      <c r="Q69" s="21"/>
      <c r="R69" s="21"/>
      <c r="S69" s="21"/>
      <c r="T69" s="9"/>
      <c r="U69" s="21"/>
      <c r="V69" s="21" t="s">
        <v>224</v>
      </c>
      <c r="W69" s="9"/>
      <c r="X69" s="9"/>
      <c r="Y69" s="9"/>
    </row>
    <row r="70" spans="1:25" ht="130.05000000000001" customHeight="1" x14ac:dyDescent="0.25">
      <c r="A70" s="9">
        <f t="shared" si="0"/>
        <v>61</v>
      </c>
      <c r="B70" s="33" t="s">
        <v>61</v>
      </c>
      <c r="C70" s="33" t="s">
        <v>57</v>
      </c>
      <c r="D70" s="33" t="s">
        <v>66</v>
      </c>
      <c r="E70" s="33" t="s">
        <v>113</v>
      </c>
      <c r="F70" s="34" t="s">
        <v>35</v>
      </c>
      <c r="G70" s="33" t="s">
        <v>75</v>
      </c>
      <c r="H70" s="33" t="s">
        <v>80</v>
      </c>
      <c r="I70" s="34" t="s">
        <v>36</v>
      </c>
      <c r="J70" s="33"/>
      <c r="K70" s="36" t="s">
        <v>135</v>
      </c>
      <c r="L70">
        <v>998</v>
      </c>
      <c r="M70" s="30" t="s">
        <v>106</v>
      </c>
      <c r="N70" s="20">
        <v>46140</v>
      </c>
      <c r="O70" s="21" t="s">
        <v>58</v>
      </c>
      <c r="P70" s="21" t="s">
        <v>5</v>
      </c>
      <c r="Q70" s="21"/>
      <c r="R70" s="21"/>
      <c r="S70" s="21"/>
      <c r="T70" s="9"/>
      <c r="U70" s="21"/>
      <c r="V70" s="21" t="s">
        <v>225</v>
      </c>
      <c r="W70" s="9"/>
      <c r="X70" s="9"/>
      <c r="Y70" s="9"/>
    </row>
    <row r="71" spans="1:25" ht="130.05000000000001" customHeight="1" x14ac:dyDescent="0.25">
      <c r="A71" s="9">
        <f t="shared" si="0"/>
        <v>62</v>
      </c>
      <c r="B71" s="40"/>
      <c r="C71" s="40"/>
      <c r="D71" s="40"/>
      <c r="E71" s="50"/>
      <c r="F71" s="41"/>
      <c r="G71" s="40"/>
      <c r="H71" s="40"/>
      <c r="I71" s="41"/>
      <c r="J71" s="40"/>
      <c r="K71" s="47"/>
      <c r="L71" s="22">
        <v>999</v>
      </c>
      <c r="M71" s="30" t="s">
        <v>106</v>
      </c>
      <c r="N71" s="20">
        <v>46140</v>
      </c>
      <c r="O71" s="21" t="s">
        <v>58</v>
      </c>
      <c r="P71" s="21" t="s">
        <v>5</v>
      </c>
      <c r="Q71" s="21"/>
      <c r="R71" s="21"/>
      <c r="S71" s="21"/>
      <c r="T71" s="9"/>
      <c r="U71" s="21"/>
      <c r="V71" s="21" t="s">
        <v>226</v>
      </c>
      <c r="W71" s="9"/>
      <c r="X71" s="9"/>
      <c r="Y71" s="9"/>
    </row>
    <row r="72" spans="1:25" ht="130.05000000000001" customHeight="1" x14ac:dyDescent="0.25">
      <c r="A72" s="9">
        <f t="shared" si="0"/>
        <v>63</v>
      </c>
      <c r="B72" s="42"/>
      <c r="C72" s="42"/>
      <c r="D72" s="42"/>
      <c r="E72" s="51"/>
      <c r="F72" s="43"/>
      <c r="G72" s="42"/>
      <c r="H72" s="42"/>
      <c r="I72" s="43"/>
      <c r="J72" s="42"/>
      <c r="K72" s="48"/>
      <c r="L72" s="22">
        <v>1000</v>
      </c>
      <c r="M72" s="30" t="s">
        <v>114</v>
      </c>
      <c r="N72" s="20">
        <v>46140</v>
      </c>
      <c r="O72" s="21" t="s">
        <v>58</v>
      </c>
      <c r="P72" s="21" t="s">
        <v>5</v>
      </c>
      <c r="Q72" s="21"/>
      <c r="R72" s="21"/>
      <c r="S72" s="21"/>
      <c r="T72" s="9"/>
      <c r="U72" s="21"/>
      <c r="V72" s="21" t="s">
        <v>227</v>
      </c>
      <c r="W72" s="9"/>
      <c r="X72" s="9"/>
      <c r="Y72" s="9"/>
    </row>
    <row r="73" spans="1:25" ht="130.05000000000001" customHeight="1" x14ac:dyDescent="0.25">
      <c r="A73" s="9">
        <f t="shared" si="0"/>
        <v>64</v>
      </c>
      <c r="B73" s="33" t="s">
        <v>61</v>
      </c>
      <c r="C73" s="33" t="s">
        <v>57</v>
      </c>
      <c r="D73" s="33" t="s">
        <v>115</v>
      </c>
      <c r="E73" s="33" t="s">
        <v>116</v>
      </c>
      <c r="F73" s="34" t="s">
        <v>35</v>
      </c>
      <c r="G73" s="33" t="s">
        <v>75</v>
      </c>
      <c r="H73" s="33" t="s">
        <v>117</v>
      </c>
      <c r="I73" s="34" t="s">
        <v>36</v>
      </c>
      <c r="J73" s="33"/>
      <c r="K73" s="36" t="s">
        <v>136</v>
      </c>
      <c r="L73" s="69" t="s">
        <v>118</v>
      </c>
      <c r="M73" s="30" t="s">
        <v>106</v>
      </c>
      <c r="N73" s="20">
        <v>46140</v>
      </c>
      <c r="O73" s="21" t="s">
        <v>58</v>
      </c>
      <c r="P73" s="21" t="s">
        <v>5</v>
      </c>
      <c r="Q73" s="21"/>
      <c r="R73" s="21"/>
      <c r="S73" s="21"/>
      <c r="T73" s="9"/>
      <c r="U73" s="21"/>
      <c r="V73" s="21" t="s">
        <v>229</v>
      </c>
      <c r="W73" s="9"/>
      <c r="X73" s="9"/>
      <c r="Y73" s="9"/>
    </row>
    <row r="74" spans="1:25" ht="130.05000000000001" customHeight="1" x14ac:dyDescent="0.25">
      <c r="A74" s="9">
        <f t="shared" si="0"/>
        <v>65</v>
      </c>
      <c r="B74" s="42"/>
      <c r="C74" s="42"/>
      <c r="D74" s="53"/>
      <c r="E74" s="51"/>
      <c r="F74" s="43"/>
      <c r="G74" s="42"/>
      <c r="H74" s="42"/>
      <c r="I74" s="43"/>
      <c r="J74" s="42"/>
      <c r="K74" s="48"/>
      <c r="L74" s="8" t="s">
        <v>228</v>
      </c>
      <c r="M74" s="33" t="s">
        <v>119</v>
      </c>
      <c r="N74" s="20">
        <v>46140</v>
      </c>
      <c r="O74" s="21" t="s">
        <v>58</v>
      </c>
      <c r="P74" s="21" t="s">
        <v>5</v>
      </c>
      <c r="Q74" s="21"/>
      <c r="R74" s="21"/>
      <c r="S74" s="21"/>
      <c r="T74" s="9"/>
      <c r="U74" s="21"/>
      <c r="V74" s="21" t="s">
        <v>230</v>
      </c>
      <c r="W74" s="9"/>
      <c r="X74" s="9"/>
      <c r="Y74" s="9"/>
    </row>
    <row r="75" spans="1:25" ht="130.05000000000001" customHeight="1" x14ac:dyDescent="0.25">
      <c r="A75" s="9">
        <f t="shared" si="0"/>
        <v>66</v>
      </c>
      <c r="B75" s="33" t="s">
        <v>61</v>
      </c>
      <c r="C75" s="33" t="s">
        <v>57</v>
      </c>
      <c r="D75" s="50" t="s">
        <v>120</v>
      </c>
      <c r="E75" s="40" t="s">
        <v>121</v>
      </c>
      <c r="F75" s="47" t="s">
        <v>44</v>
      </c>
      <c r="G75" s="33" t="s">
        <v>75</v>
      </c>
      <c r="H75" s="40" t="s">
        <v>122</v>
      </c>
      <c r="I75" s="40" t="s">
        <v>123</v>
      </c>
      <c r="J75" s="30" t="s">
        <v>101</v>
      </c>
      <c r="K75" s="36" t="s">
        <v>135</v>
      </c>
      <c r="L75" s="8">
        <v>1</v>
      </c>
      <c r="M75" s="33" t="s">
        <v>104</v>
      </c>
      <c r="N75" s="20">
        <v>46140</v>
      </c>
      <c r="O75" s="21" t="s">
        <v>58</v>
      </c>
      <c r="P75" s="21" t="s">
        <v>5</v>
      </c>
      <c r="Q75" s="21"/>
      <c r="R75" s="21"/>
      <c r="S75" s="21"/>
      <c r="T75" s="9"/>
      <c r="U75" s="21"/>
      <c r="V75" s="21" t="s">
        <v>231</v>
      </c>
      <c r="W75" s="9"/>
      <c r="X75" s="9"/>
      <c r="Y75" s="9"/>
    </row>
    <row r="76" spans="1:25" ht="130.05000000000001" customHeight="1" x14ac:dyDescent="0.25">
      <c r="A76" s="9">
        <f t="shared" si="0"/>
        <v>67</v>
      </c>
      <c r="B76" s="40"/>
      <c r="C76" s="40"/>
      <c r="D76" s="50"/>
      <c r="E76" s="40"/>
      <c r="F76" s="47"/>
      <c r="G76" s="40"/>
      <c r="H76" s="40"/>
      <c r="I76" s="40"/>
      <c r="J76" s="30" t="s">
        <v>101</v>
      </c>
      <c r="K76" s="36" t="s">
        <v>137</v>
      </c>
      <c r="L76" s="8">
        <v>1</v>
      </c>
      <c r="M76" s="31" t="s">
        <v>124</v>
      </c>
      <c r="N76" s="20">
        <v>46140</v>
      </c>
      <c r="O76" s="21" t="s">
        <v>58</v>
      </c>
      <c r="P76" s="21" t="s">
        <v>5</v>
      </c>
      <c r="Q76" s="21"/>
      <c r="R76" s="21"/>
      <c r="S76" s="21"/>
      <c r="T76" s="9"/>
      <c r="U76" s="21"/>
      <c r="V76" s="21" t="s">
        <v>232</v>
      </c>
      <c r="W76" s="9"/>
      <c r="X76" s="9"/>
      <c r="Y76" s="9"/>
    </row>
    <row r="77" spans="1:25" ht="130.05000000000001" customHeight="1" x14ac:dyDescent="0.25">
      <c r="A77" s="9">
        <f t="shared" si="0"/>
        <v>68</v>
      </c>
      <c r="B77" s="40"/>
      <c r="C77" s="40"/>
      <c r="D77" s="50"/>
      <c r="E77" s="40"/>
      <c r="F77" s="47"/>
      <c r="G77" s="40"/>
      <c r="H77" s="40"/>
      <c r="I77" s="40"/>
      <c r="J77" s="30"/>
      <c r="K77" s="36" t="s">
        <v>138</v>
      </c>
      <c r="L77" s="8"/>
      <c r="M77" s="40" t="s">
        <v>125</v>
      </c>
      <c r="N77" s="20">
        <v>46140</v>
      </c>
      <c r="O77" s="21" t="s">
        <v>58</v>
      </c>
      <c r="P77" s="21" t="s">
        <v>5</v>
      </c>
      <c r="Q77" s="21"/>
      <c r="R77" s="21"/>
      <c r="S77" s="21"/>
      <c r="T77" s="9"/>
      <c r="U77" s="21"/>
      <c r="V77" s="21" t="s">
        <v>233</v>
      </c>
      <c r="W77" s="9"/>
      <c r="X77" s="9"/>
      <c r="Y77" s="9"/>
    </row>
    <row r="78" spans="1:25" ht="130.05000000000001" customHeight="1" x14ac:dyDescent="0.25">
      <c r="A78" s="70">
        <f t="shared" si="0"/>
        <v>69</v>
      </c>
      <c r="B78" s="33" t="s">
        <v>61</v>
      </c>
      <c r="C78" s="33" t="s">
        <v>57</v>
      </c>
      <c r="D78" s="75" t="s">
        <v>126</v>
      </c>
      <c r="E78" s="74" t="s">
        <v>127</v>
      </c>
      <c r="F78" s="76" t="s">
        <v>44</v>
      </c>
      <c r="G78" s="33" t="s">
        <v>75</v>
      </c>
      <c r="H78" s="59" t="s">
        <v>74</v>
      </c>
      <c r="I78" s="37" t="s">
        <v>45</v>
      </c>
      <c r="J78" s="71"/>
      <c r="K78" s="36" t="s">
        <v>133</v>
      </c>
      <c r="L78" s="8">
        <v>1</v>
      </c>
      <c r="M78" s="31" t="s">
        <v>128</v>
      </c>
      <c r="N78" s="20">
        <v>46140</v>
      </c>
      <c r="O78" s="21" t="s">
        <v>58</v>
      </c>
      <c r="P78" s="21" t="s">
        <v>5</v>
      </c>
      <c r="Q78" s="21"/>
      <c r="R78" s="21"/>
      <c r="S78" s="21"/>
      <c r="T78" s="9"/>
      <c r="U78" s="21"/>
      <c r="V78" s="21" t="s">
        <v>234</v>
      </c>
      <c r="W78" s="9"/>
      <c r="X78" s="9"/>
      <c r="Y78" s="9"/>
    </row>
    <row r="79" spans="1:25" ht="130.05000000000001" customHeight="1" x14ac:dyDescent="0.25">
      <c r="A79" s="9">
        <f t="shared" si="0"/>
        <v>70</v>
      </c>
      <c r="B79" s="40"/>
      <c r="C79" s="40"/>
      <c r="D79" s="50"/>
      <c r="E79" s="40"/>
      <c r="F79" s="47"/>
      <c r="G79" s="40"/>
      <c r="H79" s="60" t="s">
        <v>76</v>
      </c>
      <c r="I79" s="37" t="s">
        <v>45</v>
      </c>
      <c r="J79" s="30"/>
      <c r="K79" s="36" t="s">
        <v>133</v>
      </c>
      <c r="L79" s="8" t="s">
        <v>129</v>
      </c>
      <c r="M79" s="31" t="s">
        <v>128</v>
      </c>
      <c r="N79" s="20">
        <v>46140</v>
      </c>
      <c r="O79" s="21" t="s">
        <v>58</v>
      </c>
      <c r="P79" s="21" t="s">
        <v>5</v>
      </c>
      <c r="Q79" s="21"/>
      <c r="R79" s="21"/>
      <c r="S79" s="21"/>
      <c r="T79" s="9"/>
      <c r="U79" s="21"/>
      <c r="V79" s="21" t="s">
        <v>235</v>
      </c>
      <c r="W79" s="9"/>
      <c r="X79" s="9"/>
      <c r="Y79" s="9"/>
    </row>
    <row r="80" spans="1:25" ht="130.05000000000001" customHeight="1" x14ac:dyDescent="0.25">
      <c r="A80" s="9">
        <f t="shared" si="0"/>
        <v>71</v>
      </c>
      <c r="B80" s="40"/>
      <c r="C80" s="40"/>
      <c r="D80" s="50"/>
      <c r="E80" s="40"/>
      <c r="F80" s="47"/>
      <c r="G80" s="40"/>
      <c r="H80" s="61" t="s">
        <v>77</v>
      </c>
      <c r="I80" s="37" t="s">
        <v>78</v>
      </c>
      <c r="J80" s="30"/>
      <c r="K80" s="36" t="s">
        <v>139</v>
      </c>
      <c r="L80" s="8"/>
      <c r="M80" s="31" t="s">
        <v>128</v>
      </c>
      <c r="N80" s="20">
        <v>46140</v>
      </c>
      <c r="O80" s="21" t="s">
        <v>58</v>
      </c>
      <c r="P80" s="21" t="s">
        <v>5</v>
      </c>
      <c r="Q80" s="21"/>
      <c r="R80" s="21"/>
      <c r="S80" s="21"/>
      <c r="T80" s="9"/>
      <c r="U80" s="21"/>
      <c r="V80" s="21" t="s">
        <v>236</v>
      </c>
      <c r="W80" s="9"/>
      <c r="X80" s="9"/>
      <c r="Y80" s="9"/>
    </row>
    <row r="81" spans="1:25" ht="130.05000000000001" customHeight="1" x14ac:dyDescent="0.25">
      <c r="A81" s="9">
        <f t="shared" si="0"/>
        <v>72</v>
      </c>
      <c r="B81" s="40"/>
      <c r="C81" s="40"/>
      <c r="D81" s="50"/>
      <c r="E81" s="40"/>
      <c r="F81" s="47"/>
      <c r="G81" s="40"/>
      <c r="H81" s="61" t="s">
        <v>79</v>
      </c>
      <c r="I81" s="37" t="s">
        <v>78</v>
      </c>
      <c r="J81" s="30"/>
      <c r="K81" s="36" t="s">
        <v>140</v>
      </c>
      <c r="L81" s="8"/>
      <c r="M81" s="31" t="s">
        <v>128</v>
      </c>
      <c r="N81" s="20">
        <v>46140</v>
      </c>
      <c r="O81" s="21" t="s">
        <v>58</v>
      </c>
      <c r="P81" s="21" t="s">
        <v>5</v>
      </c>
      <c r="Q81" s="21"/>
      <c r="R81" s="21"/>
      <c r="S81" s="21"/>
      <c r="T81" s="9"/>
      <c r="U81" s="21"/>
      <c r="V81" s="21" t="s">
        <v>237</v>
      </c>
      <c r="W81" s="9"/>
      <c r="X81" s="9"/>
      <c r="Y81" s="9"/>
    </row>
    <row r="82" spans="1:25" ht="130.05000000000001" customHeight="1" x14ac:dyDescent="0.25">
      <c r="A82" s="9">
        <f t="shared" si="0"/>
        <v>73</v>
      </c>
      <c r="B82" s="40"/>
      <c r="C82" s="40"/>
      <c r="D82" s="50"/>
      <c r="E82" s="40"/>
      <c r="F82" s="47"/>
      <c r="G82" s="40"/>
      <c r="H82" s="62" t="s">
        <v>80</v>
      </c>
      <c r="I82" s="37" t="s">
        <v>45</v>
      </c>
      <c r="J82" s="30"/>
      <c r="K82" s="36" t="s">
        <v>133</v>
      </c>
      <c r="L82" s="8">
        <v>1</v>
      </c>
      <c r="M82" s="31" t="s">
        <v>128</v>
      </c>
      <c r="N82" s="20">
        <v>46140</v>
      </c>
      <c r="O82" s="21" t="s">
        <v>58</v>
      </c>
      <c r="P82" s="21" t="s">
        <v>5</v>
      </c>
      <c r="Q82" s="21"/>
      <c r="R82" s="21"/>
      <c r="S82" s="21"/>
      <c r="T82" s="9"/>
      <c r="U82" s="21"/>
      <c r="V82" s="21" t="s">
        <v>238</v>
      </c>
      <c r="W82" s="9"/>
      <c r="X82" s="9"/>
      <c r="Y82" s="9"/>
    </row>
    <row r="83" spans="1:25" ht="130.05000000000001" customHeight="1" x14ac:dyDescent="0.25">
      <c r="A83" s="9">
        <f t="shared" si="0"/>
        <v>74</v>
      </c>
      <c r="B83" s="40"/>
      <c r="C83" s="40"/>
      <c r="D83" s="50"/>
      <c r="E83" s="40"/>
      <c r="F83" s="47"/>
      <c r="G83" s="40"/>
      <c r="H83" s="63" t="s">
        <v>81</v>
      </c>
      <c r="I83" s="37" t="s">
        <v>88</v>
      </c>
      <c r="J83" s="30"/>
      <c r="K83" s="36" t="s">
        <v>141</v>
      </c>
      <c r="L83" s="8"/>
      <c r="M83" s="31" t="s">
        <v>128</v>
      </c>
      <c r="N83" s="20">
        <v>46140</v>
      </c>
      <c r="O83" s="21" t="s">
        <v>58</v>
      </c>
      <c r="P83" s="21" t="s">
        <v>5</v>
      </c>
      <c r="Q83" s="21"/>
      <c r="R83" s="21"/>
      <c r="S83" s="21"/>
      <c r="T83" s="9"/>
      <c r="U83" s="21"/>
      <c r="V83" s="21" t="s">
        <v>239</v>
      </c>
      <c r="W83" s="9"/>
      <c r="X83" s="9"/>
      <c r="Y83" s="9"/>
    </row>
    <row r="84" spans="1:25" ht="130.05000000000001" customHeight="1" x14ac:dyDescent="0.25">
      <c r="A84" s="32">
        <f t="shared" si="0"/>
        <v>75</v>
      </c>
      <c r="B84" s="40"/>
      <c r="C84" s="40"/>
      <c r="D84" s="50"/>
      <c r="E84" s="40"/>
      <c r="F84" s="47"/>
      <c r="G84" s="40"/>
      <c r="H84" s="59" t="s">
        <v>82</v>
      </c>
      <c r="I84" s="46" t="s">
        <v>88</v>
      </c>
      <c r="J84" s="33"/>
      <c r="K84" s="36" t="s">
        <v>141</v>
      </c>
      <c r="L84" s="8"/>
      <c r="M84" s="31" t="s">
        <v>128</v>
      </c>
      <c r="N84" s="20">
        <v>46140</v>
      </c>
      <c r="O84" s="21" t="s">
        <v>58</v>
      </c>
      <c r="P84" s="21" t="s">
        <v>5</v>
      </c>
      <c r="Q84" s="21"/>
      <c r="R84" s="21"/>
      <c r="S84" s="21"/>
      <c r="T84" s="9"/>
      <c r="U84" s="21"/>
      <c r="V84" s="21" t="s">
        <v>240</v>
      </c>
      <c r="W84" s="9"/>
      <c r="X84" s="9"/>
      <c r="Y84" s="9"/>
    </row>
    <row r="85" spans="1:25" ht="130.05000000000001" customHeight="1" x14ac:dyDescent="0.25">
      <c r="A85" s="32">
        <f t="shared" si="0"/>
        <v>76</v>
      </c>
      <c r="B85" s="37" t="s">
        <v>61</v>
      </c>
      <c r="C85" s="37" t="s">
        <v>57</v>
      </c>
      <c r="D85" s="37" t="s">
        <v>68</v>
      </c>
      <c r="E85" s="37" t="s">
        <v>67</v>
      </c>
      <c r="F85" s="67" t="s">
        <v>35</v>
      </c>
      <c r="G85" s="37"/>
      <c r="H85" s="37" t="s">
        <v>130</v>
      </c>
      <c r="I85" s="37" t="s">
        <v>131</v>
      </c>
      <c r="J85" s="37"/>
      <c r="K85" s="38" t="s">
        <v>142</v>
      </c>
      <c r="L85" s="77"/>
      <c r="M85" s="31" t="s">
        <v>132</v>
      </c>
      <c r="N85" s="20">
        <v>46140</v>
      </c>
      <c r="O85" s="21" t="s">
        <v>58</v>
      </c>
      <c r="P85" s="21" t="s">
        <v>5</v>
      </c>
      <c r="Q85" s="21"/>
      <c r="R85" s="21"/>
      <c r="S85" s="21"/>
      <c r="T85" s="9"/>
      <c r="U85" s="21"/>
      <c r="V85" s="21" t="s">
        <v>241</v>
      </c>
      <c r="W85" s="9"/>
      <c r="X85" s="9"/>
      <c r="Y85" s="9"/>
    </row>
    <row r="86" spans="1:25" ht="130.05000000000001" customHeight="1" x14ac:dyDescent="0.25">
      <c r="A86" s="32">
        <f t="shared" si="0"/>
        <v>77</v>
      </c>
      <c r="B86" s="33" t="s">
        <v>61</v>
      </c>
      <c r="C86" s="78" t="s">
        <v>57</v>
      </c>
      <c r="D86" s="37" t="s">
        <v>69</v>
      </c>
      <c r="E86" s="46" t="s">
        <v>72</v>
      </c>
      <c r="F86" s="91" t="s">
        <v>35</v>
      </c>
      <c r="G86" s="33" t="s">
        <v>75</v>
      </c>
      <c r="H86" s="93" t="s">
        <v>211</v>
      </c>
      <c r="I86" s="74" t="s">
        <v>144</v>
      </c>
      <c r="J86" s="68"/>
      <c r="K86" s="36" t="s">
        <v>143</v>
      </c>
      <c r="L86" s="89"/>
      <c r="M86" s="56" t="s">
        <v>70</v>
      </c>
      <c r="N86" s="20">
        <v>46140</v>
      </c>
      <c r="O86" s="21" t="s">
        <v>58</v>
      </c>
      <c r="P86" s="21" t="s">
        <v>6</v>
      </c>
      <c r="Q86" s="21"/>
      <c r="R86" s="21"/>
      <c r="S86" s="21"/>
      <c r="T86" s="9"/>
      <c r="U86" s="21"/>
      <c r="V86" s="21" t="s">
        <v>242</v>
      </c>
      <c r="W86" s="9"/>
      <c r="X86" s="9"/>
      <c r="Y86" s="9"/>
    </row>
    <row r="87" spans="1:25" ht="130.05000000000001" customHeight="1" x14ac:dyDescent="0.25">
      <c r="A87" s="32">
        <f t="shared" ref="A87:A88" si="1">ROW()-9</f>
        <v>78</v>
      </c>
      <c r="B87" s="33" t="s">
        <v>61</v>
      </c>
      <c r="C87" s="78" t="s">
        <v>57</v>
      </c>
      <c r="D87" s="87" t="s">
        <v>209</v>
      </c>
      <c r="E87" s="61" t="s">
        <v>210</v>
      </c>
      <c r="F87" s="92" t="s">
        <v>44</v>
      </c>
      <c r="G87" s="33" t="s">
        <v>75</v>
      </c>
      <c r="H87" s="94" t="s">
        <v>212</v>
      </c>
      <c r="I87" s="74" t="s">
        <v>213</v>
      </c>
      <c r="J87" s="40" t="s">
        <v>214</v>
      </c>
      <c r="K87" s="73" t="s">
        <v>215</v>
      </c>
      <c r="L87" s="88" t="s">
        <v>216</v>
      </c>
      <c r="M87" s="90" t="s">
        <v>217</v>
      </c>
      <c r="N87" s="20">
        <v>46140</v>
      </c>
      <c r="O87" s="21" t="s">
        <v>58</v>
      </c>
      <c r="P87" s="21" t="s">
        <v>5</v>
      </c>
      <c r="Q87" s="21"/>
      <c r="R87" s="21"/>
      <c r="S87" s="21"/>
      <c r="T87" s="9"/>
      <c r="U87" s="21"/>
      <c r="V87" s="21" t="s">
        <v>243</v>
      </c>
      <c r="W87" s="9"/>
      <c r="X87" s="9"/>
      <c r="Y87" s="9"/>
    </row>
    <row r="88" spans="1:25" ht="130.05000000000001" customHeight="1" x14ac:dyDescent="0.25">
      <c r="A88" s="32">
        <f t="shared" si="1"/>
        <v>79</v>
      </c>
      <c r="B88" s="33" t="s">
        <v>61</v>
      </c>
      <c r="C88" s="78" t="s">
        <v>57</v>
      </c>
      <c r="D88" s="72" t="s">
        <v>202</v>
      </c>
      <c r="E88" s="57" t="s">
        <v>203</v>
      </c>
      <c r="F88" s="79" t="s">
        <v>44</v>
      </c>
      <c r="G88" s="33" t="s">
        <v>75</v>
      </c>
      <c r="H88" s="57" t="s">
        <v>204</v>
      </c>
      <c r="I88" s="57" t="s">
        <v>205</v>
      </c>
      <c r="J88" s="57" t="s">
        <v>208</v>
      </c>
      <c r="K88" s="73" t="s">
        <v>206</v>
      </c>
      <c r="L88" s="81" t="s">
        <v>207</v>
      </c>
      <c r="M88" s="80" t="s">
        <v>218</v>
      </c>
      <c r="N88" s="20">
        <v>46140</v>
      </c>
      <c r="O88" s="21" t="s">
        <v>58</v>
      </c>
      <c r="P88" s="21" t="s">
        <v>5</v>
      </c>
      <c r="Q88" s="21"/>
      <c r="R88" s="21"/>
      <c r="S88" s="21"/>
      <c r="T88" s="9"/>
      <c r="U88" s="21"/>
      <c r="V88" s="21" t="s">
        <v>244</v>
      </c>
      <c r="W88" s="9"/>
      <c r="X88" s="9"/>
      <c r="Y88" s="9"/>
    </row>
    <row r="89" spans="1:25" ht="15.75" customHeight="1" x14ac:dyDescent="0.25">
      <c r="A89" s="54"/>
      <c r="B89" s="54"/>
      <c r="C89" s="54"/>
      <c r="F89" s="54"/>
    </row>
  </sheetData>
  <autoFilter ref="A9:AB88" xr:uid="{00000000-0009-0000-0000-000000000000}"/>
  <mergeCells count="2">
    <mergeCell ref="A1:B2"/>
    <mergeCell ref="C1:E2"/>
  </mergeCells>
  <phoneticPr fontId="10"/>
  <dataValidations count="1">
    <dataValidation type="list" allowBlank="1" showErrorMessage="1" sqref="P10:P88" xr:uid="{00000000-0002-0000-0000-000000000000}">
      <formula1>"未実施,OK,NG,保留,対象外"</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B1:C6"/>
  <sheetViews>
    <sheetView workbookViewId="0"/>
  </sheetViews>
  <sheetFormatPr defaultColWidth="12.5546875" defaultRowHeight="15.75" customHeight="1" x14ac:dyDescent="0.25"/>
  <sheetData>
    <row r="1" spans="2:3" ht="15.75" customHeight="1" x14ac:dyDescent="0.25">
      <c r="B1" s="7" t="s">
        <v>37</v>
      </c>
      <c r="C1" s="7" t="s">
        <v>38</v>
      </c>
    </row>
    <row r="2" spans="2:3" ht="15.75" customHeight="1" x14ac:dyDescent="0.25">
      <c r="B2" s="7" t="s">
        <v>4</v>
      </c>
      <c r="C2" s="7" t="s">
        <v>39</v>
      </c>
    </row>
    <row r="3" spans="2:3" ht="15.75" customHeight="1" x14ac:dyDescent="0.25">
      <c r="B3" s="7" t="s">
        <v>5</v>
      </c>
      <c r="C3" s="7" t="s">
        <v>40</v>
      </c>
    </row>
    <row r="4" spans="2:3" ht="15.75" customHeight="1" x14ac:dyDescent="0.25">
      <c r="B4" s="7" t="s">
        <v>6</v>
      </c>
      <c r="C4" s="7" t="s">
        <v>41</v>
      </c>
    </row>
    <row r="5" spans="2:3" ht="15.75" customHeight="1" x14ac:dyDescent="0.25">
      <c r="B5" s="7" t="s">
        <v>7</v>
      </c>
      <c r="C5" s="7" t="s">
        <v>42</v>
      </c>
    </row>
    <row r="6" spans="2:3" ht="15.75" customHeight="1" x14ac:dyDescent="0.25">
      <c r="B6" s="7" t="s">
        <v>8</v>
      </c>
      <c r="C6" s="7" t="s">
        <v>43</v>
      </c>
    </row>
  </sheetData>
  <phoneticPr fontId="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8e74439-770c-4fc9-ac5f-1a1664423898" xsi:nil="true"/>
    <lcf76f155ced4ddcb4097134ff3c332f xmlns="1d87f29b-d4de-4f6d-82f2-e666e652bcc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47C8F348061764B834DA7E985FE720A" ma:contentTypeVersion="11" ma:contentTypeDescription="新しいドキュメントを作成します。" ma:contentTypeScope="" ma:versionID="3d8a17e44f423f2c021e2c29c5528145">
  <xsd:schema xmlns:xsd="http://www.w3.org/2001/XMLSchema" xmlns:xs="http://www.w3.org/2001/XMLSchema" xmlns:p="http://schemas.microsoft.com/office/2006/metadata/properties" xmlns:ns2="1d87f29b-d4de-4f6d-82f2-e666e652bcc1" xmlns:ns3="78e74439-770c-4fc9-ac5f-1a1664423898" targetNamespace="http://schemas.microsoft.com/office/2006/metadata/properties" ma:root="true" ma:fieldsID="838a43faee2b9dde1b65bcea094725db" ns2:_="" ns3:_="">
    <xsd:import namespace="1d87f29b-d4de-4f6d-82f2-e666e652bcc1"/>
    <xsd:import namespace="78e74439-770c-4fc9-ac5f-1a166442389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7f29b-d4de-4f6d-82f2-e666e652bc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bb053673-7494-4c78-b35a-7d9f8195593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e74439-770c-4fc9-ac5f-1a166442389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f3353e1-347a-4fd4-9f11-2d2d7d069d74}" ma:internalName="TaxCatchAll" ma:showField="CatchAllData" ma:web="78e74439-770c-4fc9-ac5f-1a166442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713A28-C5F6-4543-ABA9-8335425671F1}">
  <ds:schemaRefs>
    <ds:schemaRef ds:uri="http://schemas.microsoft.com/sharepoint/v3/contenttype/forms"/>
  </ds:schemaRefs>
</ds:datastoreItem>
</file>

<file path=customXml/itemProps2.xml><?xml version="1.0" encoding="utf-8"?>
<ds:datastoreItem xmlns:ds="http://schemas.openxmlformats.org/officeDocument/2006/customXml" ds:itemID="{8829290A-37D1-4441-9ACF-2712E7C4283B}">
  <ds:schemaRefs>
    <ds:schemaRef ds:uri="http://schemas.microsoft.com/office/2006/metadata/properties"/>
    <ds:schemaRef ds:uri="http://schemas.microsoft.com/office/infopath/2007/PartnerControls"/>
    <ds:schemaRef ds:uri="78e74439-770c-4fc9-ac5f-1a1664423898"/>
    <ds:schemaRef ds:uri="1d87f29b-d4de-4f6d-82f2-e666e652bcc1"/>
  </ds:schemaRefs>
</ds:datastoreItem>
</file>

<file path=customXml/itemProps3.xml><?xml version="1.0" encoding="utf-8"?>
<ds:datastoreItem xmlns:ds="http://schemas.openxmlformats.org/officeDocument/2006/customXml" ds:itemID="{6C9D92BA-E512-44A0-B246-04F954A5FE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7f29b-d4de-4f6d-82f2-e666e652bcc1"/>
    <ds:schemaRef ds:uri="78e74439-770c-4fc9-ac5f-1a16644238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検索画面テスト仕様書</vt:lpstr>
      <vt:lpstr>ステータス定義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木内 沙耶</dc:creator>
  <cp:lastModifiedBy>成瀬 小春</cp:lastModifiedBy>
  <dcterms:created xsi:type="dcterms:W3CDTF">2024-06-21T05:07:27Z</dcterms:created>
  <dcterms:modified xsi:type="dcterms:W3CDTF">2026-04-28T06:07:40Z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0x010100F47C8F348061764B834DA7E985FE720A</vt:lpwstr>
  </property>
</Properties>
</file>