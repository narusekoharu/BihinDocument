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415" documentId="13_ncr:1_{24301352-1912-423F-821C-A519C673EBCD}" xr6:coauthVersionLast="47" xr6:coauthVersionMax="47" xr10:uidLastSave="{4E2A07EF-66F3-49BB-B933-E1E92AA5DD50}"/>
  <bookViews>
    <workbookView xWindow="-28920" yWindow="-10095" windowWidth="29040" windowHeight="15720" tabRatio="500" firstSheet="4" activeTab="8" xr2:uid="{00000000-000D-0000-FFFF-FFFF00000000}"/>
  </bookViews>
  <sheets>
    <sheet name="改訂履歴" sheetId="1" r:id="rId1"/>
    <sheet name="画面イメージ" sheetId="2" r:id="rId2"/>
    <sheet name="IO関連図" sheetId="3" r:id="rId3"/>
    <sheet name="定数一覧" sheetId="10" r:id="rId4"/>
    <sheet name="定数一覧 (メッセージ)" sheetId="16" r:id="rId5"/>
    <sheet name="項目定義" sheetId="5" r:id="rId6"/>
    <sheet name="イベント定義" sheetId="6" r:id="rId7"/>
    <sheet name="処理詳細(イベント)" sheetId="7" r:id="rId8"/>
    <sheet name="処理詳細(共通処理)" sheetId="8" r:id="rId9"/>
    <sheet name="処理詳細(メソッド)" sheetId="14" r:id="rId10"/>
  </sheets>
  <definedNames>
    <definedName name="_xlnm.Print_Area" localSheetId="2">IO関連図!$A$1:$AN$29</definedName>
    <definedName name="_xlnm.Print_Area" localSheetId="6">イベント定義!$A$1:$AN$8</definedName>
    <definedName name="_xlnm.Print_Area" localSheetId="1">画面イメージ!$A$1:$AN$35</definedName>
    <definedName name="_xlnm.Print_Area" localSheetId="5">項目定義!$A$1:$AN$23</definedName>
    <definedName name="_xlnm.Print_Area" localSheetId="7">'処理詳細(イベント)'!$A$1:$AJ$43</definedName>
    <definedName name="_xlnm.Print_Area" localSheetId="9">'処理詳細(メソッド)'!$A$1:$AN$63</definedName>
    <definedName name="_xlnm.Print_Area" localSheetId="8">'処理詳細(共通処理)'!$A$1:$AN$20</definedName>
    <definedName name="_xlnm.Print_Area" localSheetId="3">定数一覧!$A$1:$AU$23</definedName>
    <definedName name="_xlnm.Print_Area" localSheetId="4">'定数一覧 (メッセージ)'!$A$1:$AU$14</definedName>
    <definedName name="_xlnm.Print_Titles" localSheetId="1">画面イメージ!$1:$4</definedName>
    <definedName name="_xlnm.Print_Titles" localSheetId="0">改訂履歴!$1:$1</definedName>
    <definedName name="_xlnm.Print_Titles" localSheetId="7">'処理詳細(イベント)'!$1:$4</definedName>
    <definedName name="_xlnm.Print_Titles" localSheetId="9">'処理詳細(メソッド)'!$1:$4</definedName>
    <definedName name="_xlnm.Print_Titles" localSheetId="8">'処理詳細(共通処理)'!$1:$4</definedName>
    <definedName name="Print_Titles_0" localSheetId="0">改訂履歴!$1:$1</definedName>
    <definedName name="Print_Titles_0_0" localSheetId="0">改訂履歴!$1:$1</definedName>
    <definedName name="Print_Titles_0_0_0" localSheetId="0">改訂履歴!$1:$1</definedName>
    <definedName name="Print_Titles_0_0_0_0" localSheetId="0">改訂履歴!$1:$1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4" i="16" l="1"/>
  <c r="A13" i="16"/>
  <c r="A12" i="16"/>
  <c r="A11" i="16"/>
  <c r="A10" i="16"/>
  <c r="A9" i="16"/>
  <c r="A8" i="16"/>
  <c r="A7" i="16"/>
  <c r="A6" i="16"/>
  <c r="B29" i="3"/>
  <c r="A22" i="10"/>
  <c r="A23" i="10"/>
  <c r="A20" i="10"/>
  <c r="A21" i="10"/>
  <c r="A19" i="10"/>
  <c r="A18" i="10"/>
  <c r="A17" i="10"/>
  <c r="A16" i="10"/>
  <c r="A15" i="10"/>
  <c r="A14" i="10"/>
  <c r="A11" i="10"/>
  <c r="A12" i="10" l="1"/>
  <c r="A13" i="10"/>
  <c r="A9" i="10" l="1"/>
  <c r="A10" i="10"/>
  <c r="B28" i="3"/>
  <c r="B27" i="3"/>
  <c r="A8" i="10"/>
  <c r="A7" i="10"/>
  <c r="A6" i="10"/>
  <c r="A33" i="1" l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<sst xmlns="http://schemas.openxmlformats.org/spreadsheetml/2006/main" count="516" uniqueCount="262">
  <si>
    <t>項番</t>
  </si>
  <si>
    <t>改訂日</t>
  </si>
  <si>
    <t>改訂者</t>
  </si>
  <si>
    <t>対象</t>
  </si>
  <si>
    <t>改訂内容</t>
  </si>
  <si>
    <t>Ver</t>
  </si>
  <si>
    <t>-</t>
  </si>
  <si>
    <t>詳細設計書</t>
  </si>
  <si>
    <t>プロジェクト名</t>
  </si>
  <si>
    <t>論理名称</t>
  </si>
  <si>
    <t>システム名</t>
  </si>
  <si>
    <t>物理名称</t>
  </si>
  <si>
    <t>画面イメージ</t>
  </si>
  <si>
    <t>I/O関連図</t>
  </si>
  <si>
    <t>入出力ファイル</t>
  </si>
  <si>
    <t>.</t>
  </si>
  <si>
    <t>I/O</t>
  </si>
  <si>
    <t>タイプ</t>
  </si>
  <si>
    <t>拡張子</t>
  </si>
  <si>
    <t>備考</t>
  </si>
  <si>
    <t>プロパティ一覧</t>
  </si>
  <si>
    <t>No.</t>
  </si>
  <si>
    <t>プロパティ名</t>
  </si>
  <si>
    <t>データ型</t>
  </si>
  <si>
    <t>初期値</t>
  </si>
  <si>
    <t>項目定義</t>
  </si>
  <si>
    <t>項目名</t>
  </si>
  <si>
    <t>サイズ</t>
  </si>
  <si>
    <t>TextBox</t>
  </si>
  <si>
    <t>イベント定義</t>
  </si>
  <si>
    <t>イベント</t>
  </si>
  <si>
    <t>処理概要</t>
  </si>
  <si>
    <t>処理詳細</t>
  </si>
  <si>
    <t>1.</t>
  </si>
  <si>
    <t>2.</t>
    <phoneticPr fontId="7"/>
  </si>
  <si>
    <t>2.</t>
  </si>
  <si>
    <t>3.</t>
  </si>
  <si>
    <t>4.</t>
  </si>
  <si>
    <t>6.</t>
  </si>
  <si>
    <t>1.</t>
    <phoneticPr fontId="7"/>
  </si>
  <si>
    <t>呼出形式</t>
    <phoneticPr fontId="7"/>
  </si>
  <si>
    <t>新人研修</t>
    <rPh sb="0" eb="4">
      <t>シンジンケンシュウ</t>
    </rPh>
    <phoneticPr fontId="7"/>
  </si>
  <si>
    <t>成瀬小春</t>
    <rPh sb="0" eb="4">
      <t>ナルセコハル</t>
    </rPh>
    <phoneticPr fontId="7"/>
  </si>
  <si>
    <t>備品管理アプリ</t>
    <rPh sb="0" eb="4">
      <t>ビヒンカンリ</t>
    </rPh>
    <phoneticPr fontId="7"/>
  </si>
  <si>
    <t>ボタン押下時</t>
    <phoneticPr fontId="7"/>
  </si>
  <si>
    <t>databaseConnection()</t>
    <phoneticPr fontId="7"/>
  </si>
  <si>
    <t>備品管理アプリ</t>
    <rPh sb="0" eb="2">
      <t>ビヒン</t>
    </rPh>
    <rPh sb="2" eb="4">
      <t>カンリ</t>
    </rPh>
    <phoneticPr fontId="7"/>
  </si>
  <si>
    <t>.java</t>
    <phoneticPr fontId="7"/>
  </si>
  <si>
    <t>備品一覧を取得する。</t>
    <rPh sb="0" eb="2">
      <t>ビヒン</t>
    </rPh>
    <phoneticPr fontId="7"/>
  </si>
  <si>
    <t>データベース</t>
    <phoneticPr fontId="7"/>
  </si>
  <si>
    <t>Database</t>
    <phoneticPr fontId="7"/>
  </si>
  <si>
    <t>ID</t>
    <phoneticPr fontId="7"/>
  </si>
  <si>
    <t>名称</t>
    <rPh sb="0" eb="2">
      <t>メイショウ</t>
    </rPh>
    <phoneticPr fontId="7"/>
  </si>
  <si>
    <t>状態</t>
    <rPh sb="0" eb="2">
      <t>ジョウタイ</t>
    </rPh>
    <phoneticPr fontId="7"/>
  </si>
  <si>
    <t>DBのURL</t>
    <phoneticPr fontId="10"/>
  </si>
  <si>
    <t>URL</t>
    <phoneticPr fontId="10"/>
  </si>
  <si>
    <t>DBのUSER</t>
    <phoneticPr fontId="7"/>
  </si>
  <si>
    <t>DBのPASS</t>
    <phoneticPr fontId="7"/>
  </si>
  <si>
    <t>USER</t>
    <phoneticPr fontId="7"/>
  </si>
  <si>
    <t>PASS</t>
    <phoneticPr fontId="7"/>
  </si>
  <si>
    <t>root</t>
    <phoneticPr fontId="7"/>
  </si>
  <si>
    <t>pass</t>
    <phoneticPr fontId="7"/>
  </si>
  <si>
    <t>jdbc:mysql://localhost/bihindb</t>
    <phoneticPr fontId="10"/>
  </si>
  <si>
    <t>新人研修</t>
    <rPh sb="0" eb="2">
      <t>シンジン</t>
    </rPh>
    <rPh sb="2" eb="4">
      <t>ケンシュウ</t>
    </rPh>
    <phoneticPr fontId="7"/>
  </si>
  <si>
    <t>Label</t>
    <phoneticPr fontId="7"/>
  </si>
  <si>
    <t>I</t>
    <phoneticPr fontId="7"/>
  </si>
  <si>
    <t>-</t>
    <phoneticPr fontId="7"/>
  </si>
  <si>
    <t>Button</t>
    <phoneticPr fontId="7"/>
  </si>
  <si>
    <t>メッセージ表示</t>
    <rPh sb="5" eb="7">
      <t>ヒョウジ</t>
    </rPh>
    <phoneticPr fontId="7"/>
  </si>
  <si>
    <t>String</t>
    <phoneticPr fontId="7"/>
  </si>
  <si>
    <t>O</t>
    <phoneticPr fontId="7"/>
  </si>
  <si>
    <t>使用回数</t>
    <rPh sb="0" eb="4">
      <t>シヨウカイスウ</t>
    </rPh>
    <phoneticPr fontId="7"/>
  </si>
  <si>
    <t>7.</t>
  </si>
  <si>
    <t>8.</t>
  </si>
  <si>
    <t>9.</t>
  </si>
  <si>
    <t>DBを閉じる。</t>
    <rPh sb="3" eb="4">
      <t>ト</t>
    </rPh>
    <phoneticPr fontId="7"/>
  </si>
  <si>
    <t>※</t>
    <phoneticPr fontId="7"/>
  </si>
  <si>
    <t>エラー発生時は止まる。</t>
    <rPh sb="3" eb="6">
      <t>ハッセイジ</t>
    </rPh>
    <rPh sb="7" eb="8">
      <t>ト</t>
    </rPh>
    <phoneticPr fontId="7"/>
  </si>
  <si>
    <t>呼出形式</t>
    <rPh sb="0" eb="1">
      <t>ヨ</t>
    </rPh>
    <rPh sb="1" eb="2">
      <t>ダ</t>
    </rPh>
    <rPh sb="2" eb="4">
      <t>ケイシキ</t>
    </rPh>
    <phoneticPr fontId="7"/>
  </si>
  <si>
    <t>public connection</t>
    <phoneticPr fontId="7"/>
  </si>
  <si>
    <t>public void</t>
    <phoneticPr fontId="7"/>
  </si>
  <si>
    <t>databaseClose()</t>
    <phoneticPr fontId="7"/>
  </si>
  <si>
    <t>int</t>
    <phoneticPr fontId="10"/>
  </si>
  <si>
    <t>10.</t>
  </si>
  <si>
    <t>SQL_INNER_JOIN</t>
    <phoneticPr fontId="7"/>
  </si>
  <si>
    <t>SELECT bihininfo.id, bihininfo.name, bihininfo.rental, usenum.id, usenum.num FROM bihininfo INNER JOIN usenum ON bihininfo.id = usenum.id</t>
    <phoneticPr fontId="7"/>
  </si>
  <si>
    <t>SQL_ID</t>
    <phoneticPr fontId="7"/>
  </si>
  <si>
    <t>SQL_NAME</t>
    <phoneticPr fontId="7"/>
  </si>
  <si>
    <t>SQL_RENTAL</t>
    <phoneticPr fontId="7"/>
  </si>
  <si>
    <t xml:space="preserve">bihininfo.id </t>
    <phoneticPr fontId="7"/>
  </si>
  <si>
    <t xml:space="preserve">bihininfo.name </t>
    <phoneticPr fontId="7"/>
  </si>
  <si>
    <t xml:space="preserve">bihininfo.rental </t>
    <phoneticPr fontId="7"/>
  </si>
  <si>
    <t xml:space="preserve">usenum.num </t>
    <phoneticPr fontId="7"/>
  </si>
  <si>
    <t>使用回数</t>
    <rPh sb="0" eb="2">
      <t>シヨウ</t>
    </rPh>
    <rPh sb="2" eb="4">
      <t>カイスウ</t>
    </rPh>
    <phoneticPr fontId="7"/>
  </si>
  <si>
    <t>検索画面</t>
    <rPh sb="0" eb="4">
      <t>ケンサクガメン</t>
    </rPh>
    <phoneticPr fontId="7"/>
  </si>
  <si>
    <t>備品名</t>
    <rPh sb="0" eb="3">
      <t>ビヒンメイ</t>
    </rPh>
    <phoneticPr fontId="7"/>
  </si>
  <si>
    <t>Search</t>
    <phoneticPr fontId="7"/>
  </si>
  <si>
    <t>備品を検索し、一覧表示する。</t>
    <rPh sb="0" eb="2">
      <t>ビヒン</t>
    </rPh>
    <rPh sb="3" eb="5">
      <t>ケンサク</t>
    </rPh>
    <rPh sb="7" eb="9">
      <t>イチラン</t>
    </rPh>
    <rPh sb="9" eb="11">
      <t>ヒョウジ</t>
    </rPh>
    <phoneticPr fontId="7"/>
  </si>
  <si>
    <t>30文字以内。</t>
    <rPh sb="2" eb="6">
      <t>モジイナイ</t>
    </rPh>
    <phoneticPr fontId="7"/>
  </si>
  <si>
    <t>CheckBox</t>
    <phoneticPr fontId="7"/>
  </si>
  <si>
    <t>RadioButton</t>
    <phoneticPr fontId="7"/>
  </si>
  <si>
    <t>検索ボタン</t>
    <rPh sb="0" eb="2">
      <t>ケンサク</t>
    </rPh>
    <phoneticPr fontId="7"/>
  </si>
  <si>
    <t>3文字以内。</t>
    <rPh sb="1" eb="5">
      <t>モジイナイ</t>
    </rPh>
    <phoneticPr fontId="7"/>
  </si>
  <si>
    <t>遷移後</t>
    <rPh sb="0" eb="3">
      <t>センイゴ</t>
    </rPh>
    <phoneticPr fontId="7"/>
  </si>
  <si>
    <t>初期画面表示。</t>
    <rPh sb="0" eb="4">
      <t>ショキガメン</t>
    </rPh>
    <rPh sb="4" eb="6">
      <t>ヒョウジ</t>
    </rPh>
    <phoneticPr fontId="7"/>
  </si>
  <si>
    <t>備品の検索処理をする。</t>
    <rPh sb="0" eb="2">
      <t>ビヒン</t>
    </rPh>
    <rPh sb="3" eb="5">
      <t>ケンサク</t>
    </rPh>
    <rPh sb="5" eb="7">
      <t>ショリ</t>
    </rPh>
    <phoneticPr fontId="7"/>
  </si>
  <si>
    <t>レイアウト通りの初期画面が表示される。</t>
    <rPh sb="5" eb="6">
      <t>ドオ</t>
    </rPh>
    <rPh sb="8" eb="12">
      <t>ショキガメン</t>
    </rPh>
    <rPh sb="13" eb="15">
      <t>ヒョウジ</t>
    </rPh>
    <phoneticPr fontId="7"/>
  </si>
  <si>
    <t>検索ボタン：ボタン押下時</t>
    <rPh sb="0" eb="2">
      <t>ケンサク</t>
    </rPh>
    <phoneticPr fontId="7"/>
  </si>
  <si>
    <t>複数選択可能。</t>
    <rPh sb="0" eb="6">
      <t>フクスウセンタクカノウ</t>
    </rPh>
    <phoneticPr fontId="7"/>
  </si>
  <si>
    <t>不備内容</t>
    <rPh sb="0" eb="4">
      <t>フビナイヨウ</t>
    </rPh>
    <phoneticPr fontId="7"/>
  </si>
  <si>
    <t>パラメータ.備品名が31文字以上</t>
    <rPh sb="6" eb="9">
      <t>ビヒンメイ</t>
    </rPh>
    <rPh sb="12" eb="14">
      <t>モジ</t>
    </rPh>
    <rPh sb="14" eb="16">
      <t>イジョウ</t>
    </rPh>
    <phoneticPr fontId="7"/>
  </si>
  <si>
    <t>パラメータ.使用回数が4文字以上</t>
    <rPh sb="6" eb="10">
      <t>シヨウカイスウ</t>
    </rPh>
    <rPh sb="12" eb="14">
      <t>モジ</t>
    </rPh>
    <rPh sb="14" eb="16">
      <t>イジョウ</t>
    </rPh>
    <phoneticPr fontId="7"/>
  </si>
  <si>
    <t>パラメータ.使用回数があるが、ラジオボタンが押されていない</t>
    <rPh sb="6" eb="10">
      <t>シヨウカイスウ</t>
    </rPh>
    <rPh sb="22" eb="23">
      <t>オ</t>
    </rPh>
    <phoneticPr fontId="7"/>
  </si>
  <si>
    <t>型</t>
    <rPh sb="0" eb="1">
      <t>カタ</t>
    </rPh>
    <phoneticPr fontId="7"/>
  </si>
  <si>
    <t>searchRentalTrue</t>
    <phoneticPr fontId="7"/>
  </si>
  <si>
    <t>searchRentalFalse</t>
    <phoneticPr fontId="7"/>
  </si>
  <si>
    <t>searchUseNum</t>
    <phoneticPr fontId="7"/>
  </si>
  <si>
    <t>serachUseRadio</t>
    <phoneticPr fontId="7"/>
  </si>
  <si>
    <t>IDで内部結合をさせるSQL文</t>
    <rPh sb="3" eb="7">
      <t>ナイブケツゴウ</t>
    </rPh>
    <rPh sb="14" eb="15">
      <t>ブン</t>
    </rPh>
    <phoneticPr fontId="7"/>
  </si>
  <si>
    <t>int</t>
    <phoneticPr fontId="7"/>
  </si>
  <si>
    <t>末尾に半角空白</t>
    <rPh sb="0" eb="2">
      <t>マツビ</t>
    </rPh>
    <rPh sb="3" eb="7">
      <t>ハンカククウハク</t>
    </rPh>
    <phoneticPr fontId="7"/>
  </si>
  <si>
    <t>IDのSQL文</t>
    <rPh sb="6" eb="7">
      <t>ブン</t>
    </rPh>
    <phoneticPr fontId="7"/>
  </si>
  <si>
    <t>備品名のSQL文</t>
    <rPh sb="0" eb="3">
      <t>ビヒンメイ</t>
    </rPh>
    <rPh sb="7" eb="8">
      <t>ブン</t>
    </rPh>
    <phoneticPr fontId="7"/>
  </si>
  <si>
    <t>状態のSQL文</t>
    <rPh sb="0" eb="2">
      <t>ジョウタイ</t>
    </rPh>
    <rPh sb="6" eb="7">
      <t>ブン</t>
    </rPh>
    <phoneticPr fontId="7"/>
  </si>
  <si>
    <t>使用回数のSQL文</t>
    <rPh sb="0" eb="4">
      <t>シヨウカイスウ</t>
    </rPh>
    <rPh sb="8" eb="9">
      <t>ブン</t>
    </rPh>
    <phoneticPr fontId="7"/>
  </si>
  <si>
    <t>検索画面</t>
    <rPh sb="0" eb="2">
      <t>ケンサク</t>
    </rPh>
    <rPh sb="2" eb="4">
      <t>ガメン</t>
    </rPh>
    <phoneticPr fontId="7"/>
  </si>
  <si>
    <t>パラメータ.IDが4文字以上</t>
    <rPh sb="10" eb="12">
      <t>モジ</t>
    </rPh>
    <rPh sb="12" eb="14">
      <t>イジョウ</t>
    </rPh>
    <phoneticPr fontId="7"/>
  </si>
  <si>
    <t>検索のSQL文</t>
    <phoneticPr fontId="7"/>
  </si>
  <si>
    <t>検索用のSQL文(貸出可能)</t>
    <rPh sb="0" eb="2">
      <t>ケンサク</t>
    </rPh>
    <rPh sb="2" eb="3">
      <t>ヨウ</t>
    </rPh>
    <rPh sb="7" eb="8">
      <t>ブン</t>
    </rPh>
    <rPh sb="9" eb="13">
      <t>カシダシカノウ</t>
    </rPh>
    <phoneticPr fontId="7"/>
  </si>
  <si>
    <t>検索用のSQL文(貸出中)</t>
    <rPh sb="0" eb="2">
      <t>ケンサク</t>
    </rPh>
    <rPh sb="2" eb="3">
      <t>ヨウ</t>
    </rPh>
    <rPh sb="7" eb="8">
      <t>ブン</t>
    </rPh>
    <rPh sb="9" eb="12">
      <t>カシダシチュウ</t>
    </rPh>
    <phoneticPr fontId="7"/>
  </si>
  <si>
    <t>SQL_RENTAL_TRUE</t>
    <phoneticPr fontId="7"/>
  </si>
  <si>
    <t>SQL_RENTAL_FALSE</t>
    <phoneticPr fontId="7"/>
  </si>
  <si>
    <t>ラジオボタンが押されているが、パラメータ.使用回数が空欄</t>
    <rPh sb="7" eb="8">
      <t>オ</t>
    </rPh>
    <rPh sb="21" eb="25">
      <t>シヨウカイスウ</t>
    </rPh>
    <rPh sb="26" eb="28">
      <t>クウラン</t>
    </rPh>
    <phoneticPr fontId="7"/>
  </si>
  <si>
    <t>検索用のSQL文(使用回数.以上)</t>
    <rPh sb="0" eb="3">
      <t>ケンサクヨウ</t>
    </rPh>
    <rPh sb="7" eb="8">
      <t>ブン</t>
    </rPh>
    <rPh sb="9" eb="13">
      <t>シヨウカイスウ</t>
    </rPh>
    <rPh sb="14" eb="16">
      <t>イジョウ</t>
    </rPh>
    <phoneticPr fontId="7"/>
  </si>
  <si>
    <t>SQL_USE_UP</t>
    <phoneticPr fontId="7"/>
  </si>
  <si>
    <t xml:space="preserve"> &gt;=</t>
    <phoneticPr fontId="7"/>
  </si>
  <si>
    <t>検索用のSQL文(使用回数.以下)</t>
    <rPh sb="0" eb="3">
      <t>ケンサクヨウ</t>
    </rPh>
    <rPh sb="7" eb="8">
      <t>ブン</t>
    </rPh>
    <rPh sb="9" eb="13">
      <t>シヨウカイスウ</t>
    </rPh>
    <rPh sb="14" eb="16">
      <t>イカ</t>
    </rPh>
    <phoneticPr fontId="7"/>
  </si>
  <si>
    <t>SQL_USE_DOWN</t>
    <phoneticPr fontId="7"/>
  </si>
  <si>
    <t xml:space="preserve"> &lt;=</t>
    <phoneticPr fontId="7"/>
  </si>
  <si>
    <t>パラメータ.IDが数字ではない</t>
    <rPh sb="9" eb="11">
      <t>スウジ</t>
    </rPh>
    <phoneticPr fontId="7"/>
  </si>
  <si>
    <t>パラメータ.使用回数が数字ではない</t>
    <rPh sb="6" eb="10">
      <t>シヨウカイスウ</t>
    </rPh>
    <rPh sb="11" eb="13">
      <t>スウジ</t>
    </rPh>
    <phoneticPr fontId="7"/>
  </si>
  <si>
    <t>検索画面</t>
    <rPh sb="0" eb="2">
      <t>ケンサク</t>
    </rPh>
    <phoneticPr fontId="7"/>
  </si>
  <si>
    <t>検索画面：遷移後</t>
    <rPh sb="0" eb="2">
      <t>ケンサク</t>
    </rPh>
    <rPh sb="5" eb="8">
      <t>センイゴ</t>
    </rPh>
    <phoneticPr fontId="7"/>
  </si>
  <si>
    <t>DBのコネクションを取得する。</t>
    <rPh sb="10" eb="12">
      <t>シュトク</t>
    </rPh>
    <phoneticPr fontId="7"/>
  </si>
  <si>
    <t>検索条件</t>
    <rPh sb="0" eb="4">
      <t>ケンサクジョウケン</t>
    </rPh>
    <phoneticPr fontId="7"/>
  </si>
  <si>
    <t>貸出可能チェックボックス</t>
    <rPh sb="0" eb="4">
      <t>カシダシカノウ</t>
    </rPh>
    <phoneticPr fontId="7"/>
  </si>
  <si>
    <t>貸出中チェックボックス</t>
    <rPh sb="0" eb="3">
      <t>カシダシチュウ</t>
    </rPh>
    <phoneticPr fontId="7"/>
  </si>
  <si>
    <t>使用回数ラジオボタン（以上）</t>
    <rPh sb="0" eb="4">
      <t>シヨウカイスウ</t>
    </rPh>
    <rPh sb="11" eb="13">
      <t>イジョウ</t>
    </rPh>
    <phoneticPr fontId="7"/>
  </si>
  <si>
    <t>使用回数ラジオボタン（以下）</t>
    <rPh sb="0" eb="4">
      <t>シヨウカイスウ</t>
    </rPh>
    <rPh sb="11" eb="13">
      <t>イカ</t>
    </rPh>
    <phoneticPr fontId="7"/>
  </si>
  <si>
    <t>Dialog</t>
    <phoneticPr fontId="7"/>
  </si>
  <si>
    <t>INPUT_OK</t>
    <phoneticPr fontId="7"/>
  </si>
  <si>
    <t>入力チェック失敗フラグ</t>
    <rPh sb="0" eb="2">
      <t>ニュウリョク</t>
    </rPh>
    <rPh sb="6" eb="8">
      <t>シッパイ</t>
    </rPh>
    <phoneticPr fontId="7"/>
  </si>
  <si>
    <t>入力チェック成功フラグ</t>
    <rPh sb="0" eb="2">
      <t>ニュウリョク</t>
    </rPh>
    <rPh sb="6" eb="8">
      <t>セイコウ</t>
    </rPh>
    <phoneticPr fontId="7"/>
  </si>
  <si>
    <t>INPUT_NG</t>
    <phoneticPr fontId="7"/>
  </si>
  <si>
    <t>備品名文字数</t>
    <rPh sb="0" eb="3">
      <t>ビヒンメイ</t>
    </rPh>
    <rPh sb="3" eb="6">
      <t>モジスウ</t>
    </rPh>
    <phoneticPr fontId="7"/>
  </si>
  <si>
    <t>ID文字数</t>
    <rPh sb="2" eb="5">
      <t>モジスウ</t>
    </rPh>
    <phoneticPr fontId="7"/>
  </si>
  <si>
    <t>使用回数文字数</t>
    <rPh sb="0" eb="4">
      <t>シヨウカイスウ</t>
    </rPh>
    <rPh sb="4" eb="7">
      <t>モジスウ</t>
    </rPh>
    <phoneticPr fontId="7"/>
  </si>
  <si>
    <t>NAME_LENGTH</t>
    <phoneticPr fontId="7"/>
  </si>
  <si>
    <t>ID_LENGTH</t>
    <phoneticPr fontId="7"/>
  </si>
  <si>
    <t>USE_LENGTH</t>
    <phoneticPr fontId="7"/>
  </si>
  <si>
    <t>SQL_USE</t>
    <phoneticPr fontId="7"/>
  </si>
  <si>
    <t>WHERE 1=1</t>
    <phoneticPr fontId="7"/>
  </si>
  <si>
    <t>エラー発生時は検索画面が表示されない。</t>
    <rPh sb="3" eb="6">
      <t>ハッセイジ</t>
    </rPh>
    <rPh sb="7" eb="9">
      <t>ケンサク</t>
    </rPh>
    <rPh sb="9" eb="11">
      <t>ガメン</t>
    </rPh>
    <rPh sb="12" eb="14">
      <t>ヒョウジ</t>
    </rPh>
    <phoneticPr fontId="7"/>
  </si>
  <si>
    <t>該当する備品がありませんでした</t>
    <phoneticPr fontId="7"/>
  </si>
  <si>
    <t>コネクションを返却する。</t>
    <rPh sb="7" eb="9">
      <t>ヘンキャク</t>
    </rPh>
    <phoneticPr fontId="7"/>
  </si>
  <si>
    <t>DB接続</t>
    <rPh sb="2" eb="4">
      <t>セツゾク</t>
    </rPh>
    <phoneticPr fontId="7"/>
  </si>
  <si>
    <t>DB切断</t>
    <rPh sb="2" eb="4">
      <t>セツダン</t>
    </rPh>
    <phoneticPr fontId="7"/>
  </si>
  <si>
    <t>共通処理：DB切断を実行し、DBを閉じる。</t>
    <rPh sb="0" eb="4">
      <t>キョウツウショリ</t>
    </rPh>
    <rPh sb="7" eb="9">
      <t>セツダン</t>
    </rPh>
    <rPh sb="10" eb="12">
      <t>ジッコウ</t>
    </rPh>
    <rPh sb="17" eb="18">
      <t>ト</t>
    </rPh>
    <phoneticPr fontId="7"/>
  </si>
  <si>
    <t>定数</t>
    <rPh sb="0" eb="2">
      <t>テイスウ</t>
    </rPh>
    <phoneticPr fontId="7"/>
  </si>
  <si>
    <t>5.</t>
  </si>
  <si>
    <t>引数の長さ分、一文字ずつ数字であるかチェックする。</t>
    <rPh sb="0" eb="2">
      <t>ヒキスウ</t>
    </rPh>
    <rPh sb="3" eb="4">
      <t>ナガ</t>
    </rPh>
    <rPh sb="5" eb="6">
      <t>ブン</t>
    </rPh>
    <rPh sb="7" eb="10">
      <t>ヒトモジ</t>
    </rPh>
    <rPh sb="12" eb="14">
      <t>スウジ</t>
    </rPh>
    <phoneticPr fontId="7"/>
  </si>
  <si>
    <t>備品検索</t>
    <rPh sb="0" eb="4">
      <t>ビヒンケンサク</t>
    </rPh>
    <phoneticPr fontId="7"/>
  </si>
  <si>
    <t>共通処理：DB接続を実行し、DBを繋げる。</t>
    <rPh sb="0" eb="4">
      <t>キョウツウショリ</t>
    </rPh>
    <rPh sb="7" eb="9">
      <t>セツゾク</t>
    </rPh>
    <rPh sb="17" eb="18">
      <t>ツナ</t>
    </rPh>
    <phoneticPr fontId="7"/>
  </si>
  <si>
    <t>SQL_WHERE</t>
    <phoneticPr fontId="7"/>
  </si>
  <si>
    <t>String</t>
    <phoneticPr fontId="10"/>
  </si>
  <si>
    <t>●初期画面</t>
    <rPh sb="1" eb="5">
      <t>ショキガメン</t>
    </rPh>
    <phoneticPr fontId="7"/>
  </si>
  <si>
    <t>●貸出可能にチェックをいれて、検索ボタンを押下時</t>
    <rPh sb="1" eb="3">
      <t>カシダシ</t>
    </rPh>
    <rPh sb="3" eb="5">
      <t>カノウ</t>
    </rPh>
    <rPh sb="15" eb="17">
      <t>ケンサク</t>
    </rPh>
    <rPh sb="21" eb="23">
      <t>オウカ</t>
    </rPh>
    <rPh sb="23" eb="24">
      <t>ジ</t>
    </rPh>
    <phoneticPr fontId="7"/>
  </si>
  <si>
    <t>戻るボタン</t>
    <rPh sb="0" eb="1">
      <t>モド</t>
    </rPh>
    <phoneticPr fontId="7"/>
  </si>
  <si>
    <t>ホーム画面</t>
    <rPh sb="3" eb="5">
      <t>ガメン</t>
    </rPh>
    <phoneticPr fontId="7"/>
  </si>
  <si>
    <t>Home</t>
    <phoneticPr fontId="7"/>
  </si>
  <si>
    <t>備品一覧を管理し、一覧表示する。</t>
    <rPh sb="0" eb="2">
      <t>ビヒン</t>
    </rPh>
    <rPh sb="5" eb="7">
      <t>カンリ</t>
    </rPh>
    <rPh sb="9" eb="13">
      <t>イチランヒョウジ</t>
    </rPh>
    <phoneticPr fontId="7"/>
  </si>
  <si>
    <t>Boolean</t>
    <phoneticPr fontId="7"/>
  </si>
  <si>
    <t>戻るボタン：ボタン押下時</t>
    <rPh sb="0" eb="1">
      <t>モド</t>
    </rPh>
    <phoneticPr fontId="7"/>
  </si>
  <si>
    <t>ホーム画面に遷移する。</t>
    <rPh sb="3" eb="5">
      <t>ガメン</t>
    </rPh>
    <rPh sb="6" eb="8">
      <t>センイ</t>
    </rPh>
    <phoneticPr fontId="7"/>
  </si>
  <si>
    <t>ID_CHECK</t>
    <phoneticPr fontId="7"/>
  </si>
  <si>
    <t>IDは3桁以内で入力してください</t>
    <phoneticPr fontId="7"/>
  </si>
  <si>
    <t>ID_NUM_CHECK</t>
    <phoneticPr fontId="7"/>
  </si>
  <si>
    <t>IDは全て数字で入力してください</t>
    <phoneticPr fontId="7"/>
  </si>
  <si>
    <t>NAME_CHECK</t>
    <phoneticPr fontId="7"/>
  </si>
  <si>
    <t>備品名は30文字以内で入力してください</t>
    <phoneticPr fontId="7"/>
  </si>
  <si>
    <t>USE_CHECK</t>
    <phoneticPr fontId="7"/>
  </si>
  <si>
    <t>使用回数は3桁以内で入力してください</t>
    <phoneticPr fontId="7"/>
  </si>
  <si>
    <t>USE_NUM_CHECK</t>
    <phoneticPr fontId="7"/>
  </si>
  <si>
    <t>使用回数は全て数字で入力してください</t>
    <phoneticPr fontId="7"/>
  </si>
  <si>
    <t>USE_RADIO_CHECK</t>
    <phoneticPr fontId="7"/>
  </si>
  <si>
    <t>「以上」か「以下」か選んでください</t>
    <phoneticPr fontId="7"/>
  </si>
  <si>
    <t>USE_NO_NUM_CHECK</t>
    <phoneticPr fontId="7"/>
  </si>
  <si>
    <t>使用回数を入力してください</t>
    <phoneticPr fontId="7"/>
  </si>
  <si>
    <t>BIHIN_EMPTY</t>
    <phoneticPr fontId="7"/>
  </si>
  <si>
    <t>BIHIN_NG</t>
    <phoneticPr fontId="7"/>
  </si>
  <si>
    <t>検索条件に不備がありま</t>
    <phoneticPr fontId="7"/>
  </si>
  <si>
    <t>画面用メッセージ</t>
    <rPh sb="0" eb="3">
      <t>ガメンヨウ</t>
    </rPh>
    <phoneticPr fontId="7"/>
  </si>
  <si>
    <t>入力チェックメッセージ（ID３桁以内）</t>
    <rPh sb="0" eb="2">
      <t>ニュウリョク</t>
    </rPh>
    <rPh sb="15" eb="18">
      <t>ケタイナイ</t>
    </rPh>
    <phoneticPr fontId="7"/>
  </si>
  <si>
    <t>入力チェックメッセージ（ID全て数字）</t>
    <rPh sb="0" eb="2">
      <t>ニュウリョク</t>
    </rPh>
    <rPh sb="14" eb="15">
      <t>スベ</t>
    </rPh>
    <rPh sb="16" eb="18">
      <t>スウジ</t>
    </rPh>
    <phoneticPr fontId="7"/>
  </si>
  <si>
    <t>入力チェックメッセージ（備品名30文字以内）</t>
    <rPh sb="0" eb="2">
      <t>ニュウリョク</t>
    </rPh>
    <rPh sb="12" eb="15">
      <t>ビヒンメイ</t>
    </rPh>
    <rPh sb="17" eb="19">
      <t>モジ</t>
    </rPh>
    <rPh sb="19" eb="21">
      <t>イナイ</t>
    </rPh>
    <phoneticPr fontId="7"/>
  </si>
  <si>
    <t>入力チェックメッセージ（使用回数3桁以内）</t>
    <rPh sb="0" eb="2">
      <t>ニュウリョク</t>
    </rPh>
    <rPh sb="12" eb="16">
      <t>シヨウカイスウ</t>
    </rPh>
    <rPh sb="17" eb="18">
      <t>ケタ</t>
    </rPh>
    <rPh sb="18" eb="20">
      <t>イナイ</t>
    </rPh>
    <phoneticPr fontId="7"/>
  </si>
  <si>
    <t>入力チェックメッセージ（使用回数全て数字）</t>
    <rPh sb="0" eb="2">
      <t>ニュウリョク</t>
    </rPh>
    <rPh sb="12" eb="16">
      <t>シヨウカイスウ</t>
    </rPh>
    <rPh sb="16" eb="17">
      <t>スベ</t>
    </rPh>
    <rPh sb="18" eb="20">
      <t>スウジ</t>
    </rPh>
    <phoneticPr fontId="7"/>
  </si>
  <si>
    <t>入力チェックメッセージ（ラジオボタン押し忘れ）</t>
    <rPh sb="0" eb="2">
      <t>ニュウリョク</t>
    </rPh>
    <rPh sb="18" eb="19">
      <t>オ</t>
    </rPh>
    <rPh sb="20" eb="21">
      <t>ワス</t>
    </rPh>
    <phoneticPr fontId="7"/>
  </si>
  <si>
    <t>入力チェックメッセージ（ラジオボタンのみ）</t>
    <rPh sb="0" eb="2">
      <t>ニュウリョク</t>
    </rPh>
    <phoneticPr fontId="7"/>
  </si>
  <si>
    <t>ダイアログ用メッセージ</t>
    <rPh sb="5" eb="6">
      <t>ヨウ</t>
    </rPh>
    <phoneticPr fontId="7"/>
  </si>
  <si>
    <t>searchId</t>
    <phoneticPr fontId="7"/>
  </si>
  <si>
    <t>saerchName</t>
    <phoneticPr fontId="7"/>
  </si>
  <si>
    <t>呼出形式</t>
    <rPh sb="0" eb="2">
      <t>ヨビダシ</t>
    </rPh>
    <rPh sb="2" eb="4">
      <t>ケイシキ</t>
    </rPh>
    <phoneticPr fontId="7"/>
  </si>
  <si>
    <t>検索条件.ID</t>
    <rPh sb="0" eb="4">
      <t>ケンサクジョウケン</t>
    </rPh>
    <phoneticPr fontId="7"/>
  </si>
  <si>
    <t>検索条件.備品名</t>
    <rPh sb="0" eb="4">
      <t>ケンサクジョウケン</t>
    </rPh>
    <rPh sb="5" eb="8">
      <t>ビヒンメイ</t>
    </rPh>
    <phoneticPr fontId="7"/>
  </si>
  <si>
    <t>検索条件.使用回数</t>
    <rPh sb="0" eb="4">
      <t>ケンサクジョウケン</t>
    </rPh>
    <rPh sb="5" eb="9">
      <t>シヨウカイスウ</t>
    </rPh>
    <phoneticPr fontId="7"/>
  </si>
  <si>
    <t>長さ</t>
    <rPh sb="0" eb="1">
      <t>ナガ</t>
    </rPh>
    <phoneticPr fontId="7"/>
  </si>
  <si>
    <t>検索条件.入力値</t>
    <rPh sb="0" eb="2">
      <t>ケンサク</t>
    </rPh>
    <rPh sb="2" eb="4">
      <t>ジョウケン</t>
    </rPh>
    <rPh sb="5" eb="8">
      <t>ニュウリョクチ</t>
    </rPh>
    <phoneticPr fontId="7"/>
  </si>
  <si>
    <t>3(定数：ID_LENGTH)</t>
    <rPh sb="2" eb="4">
      <t>テイスウ</t>
    </rPh>
    <phoneticPr fontId="7"/>
  </si>
  <si>
    <t>30(定数：NAME_LENGTH)</t>
    <rPh sb="3" eb="5">
      <t>テイスウ</t>
    </rPh>
    <phoneticPr fontId="7"/>
  </si>
  <si>
    <t>3(定数：USE_LENGTH)</t>
    <rPh sb="2" eb="4">
      <t>テイスウ</t>
    </rPh>
    <phoneticPr fontId="7"/>
  </si>
  <si>
    <t>入力値に対応する長さより、検索条件.入力値が大きかった場合、NGにする。</t>
    <rPh sb="0" eb="3">
      <t>ニュウリョクチ</t>
    </rPh>
    <rPh sb="4" eb="6">
      <t>タイオウ</t>
    </rPh>
    <rPh sb="8" eb="9">
      <t>ナガ</t>
    </rPh>
    <rPh sb="13" eb="17">
      <t>ケンサクジョウケン</t>
    </rPh>
    <rPh sb="18" eb="21">
      <t>ニュウリョクチ</t>
    </rPh>
    <rPh sb="22" eb="23">
      <t>オオ</t>
    </rPh>
    <rPh sb="27" eb="29">
      <t>バアイ</t>
    </rPh>
    <phoneticPr fontId="7"/>
  </si>
  <si>
    <t>そうでない場合、OKとなる。</t>
    <rPh sb="5" eb="7">
      <t>バアイ</t>
    </rPh>
    <phoneticPr fontId="7"/>
  </si>
  <si>
    <t>戻り値を返却する。</t>
    <rPh sb="0" eb="1">
      <t>モド</t>
    </rPh>
    <rPh sb="2" eb="3">
      <t>チ</t>
    </rPh>
    <rPh sb="4" eb="6">
      <t>ヘンキャク</t>
    </rPh>
    <phoneticPr fontId="7"/>
  </si>
  <si>
    <t>public int numCheck(String 検索条件.入力値)</t>
    <rPh sb="27" eb="31">
      <t>ケンサクジョウケン</t>
    </rPh>
    <rPh sb="32" eb="34">
      <t>ニュウリョク</t>
    </rPh>
    <rPh sb="34" eb="35">
      <t>チ</t>
    </rPh>
    <phoneticPr fontId="7"/>
  </si>
  <si>
    <t xml:space="preserve"> public List&lt;BihinData&gt; searchBihin（画面の入力された検索条件）</t>
    <phoneticPr fontId="7"/>
  </si>
  <si>
    <t>数字ではないものが入力されていた場合、NGにする。</t>
    <rPh sb="0" eb="2">
      <t>スウジ</t>
    </rPh>
    <rPh sb="9" eb="11">
      <t>ニュウリョク</t>
    </rPh>
    <rPh sb="16" eb="18">
      <t>バアイ</t>
    </rPh>
    <phoneticPr fontId="7"/>
  </si>
  <si>
    <t>追加した条件の値に対応する値を設定する。</t>
    <rPh sb="0" eb="2">
      <t>ツイカ</t>
    </rPh>
    <rPh sb="4" eb="6">
      <t>ジョウケン</t>
    </rPh>
    <rPh sb="7" eb="8">
      <t>アタイ</t>
    </rPh>
    <rPh sb="9" eb="11">
      <t>タイオウ</t>
    </rPh>
    <rPh sb="13" eb="14">
      <t>アタイ</t>
    </rPh>
    <rPh sb="15" eb="17">
      <t>セッテイ</t>
    </rPh>
    <phoneticPr fontId="7"/>
  </si>
  <si>
    <t>検索条件.貸出中チェックボックス</t>
    <rPh sb="0" eb="4">
      <t>ケンサクジョウケン</t>
    </rPh>
    <rPh sb="5" eb="8">
      <t>カシダシチュウ</t>
    </rPh>
    <phoneticPr fontId="7"/>
  </si>
  <si>
    <t>検索条件.貸出可能チェックボックス</t>
    <rPh sb="0" eb="4">
      <t>ケンサクジョウケン</t>
    </rPh>
    <rPh sb="5" eb="9">
      <t>カシダシカノウ</t>
    </rPh>
    <phoneticPr fontId="7"/>
  </si>
  <si>
    <t>検索条件.使用回数ラジオボタン</t>
    <rPh sb="0" eb="4">
      <t>ケンサクジョウケン</t>
    </rPh>
    <rPh sb="5" eb="9">
      <t>シヨウカイスウ</t>
    </rPh>
    <phoneticPr fontId="7"/>
  </si>
  <si>
    <t>入力された検索条件</t>
    <rPh sb="0" eb="2">
      <t>ニュウリョク</t>
    </rPh>
    <rPh sb="5" eb="9">
      <t>ケンサクジョウケン</t>
    </rPh>
    <phoneticPr fontId="7"/>
  </si>
  <si>
    <t>bihininfoテーブルと、usenumテーブルを、IDで内部結合し、元となるSQL文を作成する。</t>
    <rPh sb="30" eb="34">
      <t>ナイブケツゴウ</t>
    </rPh>
    <rPh sb="36" eb="37">
      <t>モト</t>
    </rPh>
    <rPh sb="43" eb="44">
      <t>ブン</t>
    </rPh>
    <rPh sb="45" eb="47">
      <t>サクセイ</t>
    </rPh>
    <phoneticPr fontId="7"/>
  </si>
  <si>
    <t>パラメータ（任意）</t>
    <rPh sb="6" eb="8">
      <t>ニンイ</t>
    </rPh>
    <phoneticPr fontId="7"/>
  </si>
  <si>
    <t>貸出可能チェックと貸出中チェックが両方チェックされた場合、全件検索にする。</t>
    <rPh sb="0" eb="4">
      <t>カシダシカノウ</t>
    </rPh>
    <rPh sb="9" eb="12">
      <t>カシダシチュウ</t>
    </rPh>
    <rPh sb="17" eb="19">
      <t>リョウホウ</t>
    </rPh>
    <rPh sb="26" eb="28">
      <t>バアイ</t>
    </rPh>
    <rPh sb="29" eb="33">
      <t>ゼンケンケンサク</t>
    </rPh>
    <phoneticPr fontId="7"/>
  </si>
  <si>
    <t>貸出可能チェックのみだった場合、貸出可能検索の条件を追加する。</t>
    <rPh sb="0" eb="4">
      <t>カシダシカノウ</t>
    </rPh>
    <rPh sb="13" eb="15">
      <t>バアイ</t>
    </rPh>
    <rPh sb="16" eb="20">
      <t>カシダシカノウ</t>
    </rPh>
    <rPh sb="20" eb="22">
      <t>ケンサク</t>
    </rPh>
    <rPh sb="23" eb="25">
      <t>ジョウケン</t>
    </rPh>
    <rPh sb="26" eb="28">
      <t>ツイカ</t>
    </rPh>
    <phoneticPr fontId="7"/>
  </si>
  <si>
    <t>備品名が入力された場合、備品名検索の条件を追加する。</t>
    <rPh sb="0" eb="3">
      <t>ビヒンメイ</t>
    </rPh>
    <rPh sb="4" eb="6">
      <t>ニュウリョク</t>
    </rPh>
    <rPh sb="9" eb="11">
      <t>バアイ</t>
    </rPh>
    <rPh sb="12" eb="15">
      <t>ビヒンメイ</t>
    </rPh>
    <rPh sb="15" eb="17">
      <t>ケンサク</t>
    </rPh>
    <rPh sb="18" eb="20">
      <t>ジョウケン</t>
    </rPh>
    <rPh sb="21" eb="23">
      <t>ツイカ</t>
    </rPh>
    <phoneticPr fontId="7"/>
  </si>
  <si>
    <t>IDが入力された場合、ID検索の条件を追加する。</t>
    <rPh sb="3" eb="5">
      <t>ニュウリョク</t>
    </rPh>
    <rPh sb="8" eb="10">
      <t>バアイ</t>
    </rPh>
    <rPh sb="13" eb="15">
      <t>ケンサク</t>
    </rPh>
    <rPh sb="16" eb="18">
      <t>ジョウケン</t>
    </rPh>
    <rPh sb="19" eb="21">
      <t>ツイカ</t>
    </rPh>
    <phoneticPr fontId="7"/>
  </si>
  <si>
    <t>貸出中チェックのみだった場合、貸出中検索の条件を追加する。</t>
    <rPh sb="0" eb="2">
      <t>カシダシ</t>
    </rPh>
    <rPh sb="2" eb="3">
      <t>チュウ</t>
    </rPh>
    <rPh sb="12" eb="14">
      <t>バアイ</t>
    </rPh>
    <rPh sb="15" eb="18">
      <t>カシダシチュウ</t>
    </rPh>
    <rPh sb="18" eb="20">
      <t>ケンサク</t>
    </rPh>
    <rPh sb="21" eb="23">
      <t>ジョウケン</t>
    </rPh>
    <rPh sb="24" eb="26">
      <t>ツイカ</t>
    </rPh>
    <phoneticPr fontId="7"/>
  </si>
  <si>
    <t>使用回数と以上のラジオボタンが入力された場合、その使用回数以上検索の条件を追加する。</t>
    <rPh sb="0" eb="4">
      <t>シヨウカイスウ</t>
    </rPh>
    <rPh sb="5" eb="7">
      <t>イジョウ</t>
    </rPh>
    <rPh sb="15" eb="17">
      <t>ニュウリョク</t>
    </rPh>
    <rPh sb="20" eb="22">
      <t>バアイ</t>
    </rPh>
    <rPh sb="25" eb="31">
      <t>シヨウカイスウイジョウ</t>
    </rPh>
    <rPh sb="31" eb="33">
      <t>ケンサク</t>
    </rPh>
    <rPh sb="34" eb="36">
      <t>ジョウケン</t>
    </rPh>
    <rPh sb="37" eb="39">
      <t>ツイカ</t>
    </rPh>
    <phoneticPr fontId="7"/>
  </si>
  <si>
    <t>使用回数と以下のラジオボタンが入力された場合、その使用回数以下検索の条件を追加する。</t>
    <rPh sb="5" eb="7">
      <t>イカ</t>
    </rPh>
    <rPh sb="25" eb="31">
      <t>シヨウカイスウイカ</t>
    </rPh>
    <rPh sb="31" eb="33">
      <t>ケンサク</t>
    </rPh>
    <rPh sb="34" eb="36">
      <t>ジョウケン</t>
    </rPh>
    <rPh sb="37" eb="39">
      <t>ツイカ</t>
    </rPh>
    <phoneticPr fontId="7"/>
  </si>
  <si>
    <t>備品名</t>
    <rPh sb="0" eb="2">
      <t>ビヒン</t>
    </rPh>
    <rPh sb="2" eb="3">
      <t>メイ</t>
    </rPh>
    <phoneticPr fontId="7"/>
  </si>
  <si>
    <t>追加した値</t>
    <rPh sb="0" eb="2">
      <t>ツイカ</t>
    </rPh>
    <rPh sb="4" eb="5">
      <t>アタイ</t>
    </rPh>
    <phoneticPr fontId="7"/>
  </si>
  <si>
    <t>対応する値</t>
    <rPh sb="0" eb="2">
      <t>タイオウ</t>
    </rPh>
    <rPh sb="4" eb="5">
      <t>アタイ</t>
    </rPh>
    <phoneticPr fontId="7"/>
  </si>
  <si>
    <t>検索結果を格納して、返却する。</t>
    <rPh sb="0" eb="4">
      <t>ケンサクケッカ</t>
    </rPh>
    <rPh sb="5" eb="7">
      <t>カクノウ</t>
    </rPh>
    <rPh sb="10" eb="12">
      <t>ヘンキャク</t>
    </rPh>
    <phoneticPr fontId="7"/>
  </si>
  <si>
    <t>文字数チェック処理</t>
    <rPh sb="0" eb="3">
      <t>モジスウ</t>
    </rPh>
    <rPh sb="7" eb="9">
      <t>ショリ</t>
    </rPh>
    <phoneticPr fontId="7"/>
  </si>
  <si>
    <t>数字チェック処理</t>
    <rPh sb="0" eb="2">
      <t>スウジ</t>
    </rPh>
    <rPh sb="6" eb="8">
      <t>ショリ</t>
    </rPh>
    <phoneticPr fontId="7"/>
  </si>
  <si>
    <t>入力された任意の検索条件を引数にして、文字数チェック処理、数字チェック処理を呼び出す。</t>
    <rPh sb="0" eb="2">
      <t>ニュウリョク</t>
    </rPh>
    <rPh sb="5" eb="7">
      <t>ニンイ</t>
    </rPh>
    <rPh sb="8" eb="12">
      <t>ケンサクジョウケン</t>
    </rPh>
    <rPh sb="13" eb="15">
      <t>ヒキスウ</t>
    </rPh>
    <rPh sb="19" eb="22">
      <t>モジスウ</t>
    </rPh>
    <rPh sb="26" eb="28">
      <t>ショリ</t>
    </rPh>
    <rPh sb="29" eb="31">
      <t>スウジ</t>
    </rPh>
    <rPh sb="35" eb="37">
      <t>ショリ</t>
    </rPh>
    <rPh sb="38" eb="39">
      <t>ヨ</t>
    </rPh>
    <rPh sb="40" eb="41">
      <t>ダ</t>
    </rPh>
    <phoneticPr fontId="7"/>
  </si>
  <si>
    <t>メッセージ</t>
    <phoneticPr fontId="7"/>
  </si>
  <si>
    <t>各々に対応したメッセージをアラート用に設定する。</t>
    <rPh sb="17" eb="18">
      <t>ヨウ</t>
    </rPh>
    <phoneticPr fontId="7"/>
  </si>
  <si>
    <t>①</t>
    <phoneticPr fontId="7"/>
  </si>
  <si>
    <t>空だった場合</t>
    <rPh sb="0" eb="1">
      <t>カラ</t>
    </rPh>
    <rPh sb="4" eb="6">
      <t>バアイ</t>
    </rPh>
    <phoneticPr fontId="7"/>
  </si>
  <si>
    <t>「該当する備品がありませんでした」(定数：BIHIN_EMPTY)というメッセージを設定する。</t>
    <rPh sb="18" eb="20">
      <t>テイスウ</t>
    </rPh>
    <rPh sb="42" eb="44">
      <t>セッテイ</t>
    </rPh>
    <phoneticPr fontId="7"/>
  </si>
  <si>
    <t>②</t>
    <phoneticPr fontId="7"/>
  </si>
  <si>
    <t>中身がある場合</t>
    <rPh sb="0" eb="2">
      <t>ナカミ</t>
    </rPh>
    <rPh sb="5" eb="7">
      <t>バアイ</t>
    </rPh>
    <phoneticPr fontId="7"/>
  </si>
  <si>
    <t>③</t>
    <phoneticPr fontId="7"/>
  </si>
  <si>
    <t>public int lengthCheck(String 検索条件.入力値, int 長さ)</t>
    <rPh sb="30" eb="34">
      <t>ケンサクジョウケン</t>
    </rPh>
    <rPh sb="35" eb="37">
      <t>ニュウリョク</t>
    </rPh>
    <rPh sb="37" eb="38">
      <t>チ</t>
    </rPh>
    <rPh sb="44" eb="45">
      <t>ナガ</t>
    </rPh>
    <phoneticPr fontId="7"/>
  </si>
  <si>
    <t>検索結果</t>
    <rPh sb="0" eb="4">
      <t>ケンサクケッカ</t>
    </rPh>
    <phoneticPr fontId="7"/>
  </si>
  <si>
    <r>
      <t>検索条件が正しくなかった場合は画面用に、</t>
    </r>
    <r>
      <rPr>
        <sz val="10"/>
        <color theme="1"/>
        <rFont val="メイリオ"/>
        <family val="3"/>
        <charset val="128"/>
      </rPr>
      <t>「検索条件に不備があります」(定数：BIHIN_NG)という</t>
    </r>
    <r>
      <rPr>
        <sz val="10"/>
        <color rgb="FF000000"/>
        <rFont val="メイリオ"/>
        <family val="3"/>
        <charset val="128"/>
      </rPr>
      <t>メッセージを設定し、処理を終了する。</t>
    </r>
    <rPh sb="15" eb="18">
      <t>ガメンヨウ</t>
    </rPh>
    <rPh sb="60" eb="62">
      <t>ショリ</t>
    </rPh>
    <rPh sb="63" eb="65">
      <t>シュウリョウ</t>
    </rPh>
    <phoneticPr fontId="7"/>
  </si>
  <si>
    <t>OKの場合、入力された任意の検索条件を引数にして、備品検索処理を呼び出し、戻り値を受け取る。</t>
    <rPh sb="3" eb="5">
      <t>バアイ</t>
    </rPh>
    <rPh sb="25" eb="29">
      <t>ビヒンケンサク</t>
    </rPh>
    <rPh sb="29" eb="31">
      <t>ショリ</t>
    </rPh>
    <rPh sb="32" eb="33">
      <t>ヨ</t>
    </rPh>
    <rPh sb="34" eb="35">
      <t>ダ</t>
    </rPh>
    <rPh sb="37" eb="38">
      <t>モド</t>
    </rPh>
    <rPh sb="39" eb="40">
      <t>チ</t>
    </rPh>
    <rPh sb="41" eb="42">
      <t>ウ</t>
    </rPh>
    <rPh sb="43" eb="44">
      <t>ト</t>
    </rPh>
    <phoneticPr fontId="7"/>
  </si>
  <si>
    <t>検索結果を設定する。</t>
    <rPh sb="0" eb="4">
      <t>ケンサクケッカ</t>
    </rPh>
    <rPh sb="5" eb="7">
      <t>セッテイ</t>
    </rPh>
    <phoneticPr fontId="7"/>
  </si>
  <si>
    <t>引数</t>
    <rPh sb="0" eb="2">
      <t>ヒキスウ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</si>
</sst>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 x14ac:knownFonts="1">
    <font>
      <sz val="11"/>
      <color rgb="FF000000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0"/>
      <color rgb="FFFFFFFF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theme="1"/>
      <name val="メイリオ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rgb="FF000000"/>
      <name val="メイリオ"/>
      <family val="3"/>
      <charset val="128"/>
    </font>
    <font>
      <sz val="10"/>
      <color theme="0" tint="-4.9989318521683403E-2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1"/>
      <color rgb="FFFF0000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strike/>
      <sz val="10"/>
      <color theme="1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</cellStyleXfs>
  <cellXfs count="18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1" applyFont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13" xfId="0" applyFont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14" fontId="8" fillId="0" borderId="1" xfId="2" applyNumberFormat="1" applyFont="1" applyBorder="1" applyAlignment="1">
      <alignment horizontal="center" vertical="center"/>
    </xf>
    <xf numFmtId="0" fontId="5" fillId="2" borderId="2" xfId="0" quotePrefix="1" applyFont="1" applyFill="1" applyBorder="1">
      <alignment vertical="center"/>
    </xf>
    <xf numFmtId="0" fontId="2" fillId="2" borderId="2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2" fillId="2" borderId="4" xfId="3" applyFont="1" applyFill="1" applyBorder="1">
      <alignment vertical="center"/>
    </xf>
    <xf numFmtId="0" fontId="2" fillId="0" borderId="2" xfId="3" applyFont="1" applyBorder="1">
      <alignment vertical="center"/>
    </xf>
    <xf numFmtId="0" fontId="2" fillId="0" borderId="3" xfId="3" applyFont="1" applyBorder="1">
      <alignment vertical="center"/>
    </xf>
    <xf numFmtId="0" fontId="2" fillId="0" borderId="4" xfId="3" applyFont="1" applyBorder="1">
      <alignment vertical="center"/>
    </xf>
    <xf numFmtId="0" fontId="2" fillId="0" borderId="0" xfId="3" applyFont="1">
      <alignment vertical="center"/>
    </xf>
    <xf numFmtId="0" fontId="4" fillId="3" borderId="2" xfId="3" applyFont="1" applyFill="1" applyBorder="1">
      <alignment vertical="center"/>
    </xf>
    <xf numFmtId="0" fontId="4" fillId="3" borderId="3" xfId="3" applyFont="1" applyFill="1" applyBorder="1">
      <alignment vertical="center"/>
    </xf>
    <xf numFmtId="0" fontId="4" fillId="3" borderId="4" xfId="3" applyFont="1" applyFill="1" applyBorder="1">
      <alignment vertical="center"/>
    </xf>
    <xf numFmtId="0" fontId="2" fillId="4" borderId="2" xfId="3" applyFont="1" applyFill="1" applyBorder="1">
      <alignment vertical="center"/>
    </xf>
    <xf numFmtId="0" fontId="2" fillId="0" borderId="2" xfId="3" applyFont="1" applyBorder="1" applyAlignment="1">
      <alignment horizontal="center" vertical="center"/>
    </xf>
    <xf numFmtId="0" fontId="2" fillId="0" borderId="9" xfId="3" applyFont="1" applyBorder="1">
      <alignment vertical="center"/>
    </xf>
    <xf numFmtId="0" fontId="11" fillId="0" borderId="0" xfId="4"/>
    <xf numFmtId="0" fontId="0" fillId="0" borderId="0" xfId="0" applyAlignment="1"/>
    <xf numFmtId="0" fontId="2" fillId="0" borderId="5" xfId="3" applyFont="1" applyBorder="1">
      <alignment vertical="center"/>
    </xf>
    <xf numFmtId="0" fontId="2" fillId="0" borderId="6" xfId="3" applyFont="1" applyBorder="1">
      <alignment vertical="center"/>
    </xf>
    <xf numFmtId="0" fontId="2" fillId="0" borderId="7" xfId="3" applyFont="1" applyBorder="1">
      <alignment vertical="center"/>
    </xf>
    <xf numFmtId="0" fontId="2" fillId="0" borderId="0" xfId="3" applyFont="1" applyAlignment="1">
      <alignment horizontal="center" vertical="center"/>
    </xf>
    <xf numFmtId="0" fontId="2" fillId="0" borderId="15" xfId="0" applyFont="1" applyBorder="1">
      <alignment vertical="center"/>
    </xf>
    <xf numFmtId="0" fontId="2" fillId="0" borderId="0" xfId="0" quotePrefix="1" applyFont="1">
      <alignment vertical="center"/>
    </xf>
    <xf numFmtId="0" fontId="2" fillId="0" borderId="0" xfId="3" applyFont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2" xfId="3" applyFont="1" applyBorder="1" applyAlignment="1">
      <alignment horizontal="left" vertical="center"/>
    </xf>
    <xf numFmtId="0" fontId="2" fillId="0" borderId="4" xfId="3" applyFont="1" applyBorder="1" applyAlignment="1">
      <alignment horizontal="left" vertical="center"/>
    </xf>
    <xf numFmtId="0" fontId="2" fillId="0" borderId="3" xfId="3" applyFont="1" applyBorder="1" applyAlignment="1">
      <alignment horizontal="left" vertical="center"/>
    </xf>
    <xf numFmtId="0" fontId="13" fillId="0" borderId="3" xfId="3" applyFont="1" applyBorder="1">
      <alignment vertical="center"/>
    </xf>
    <xf numFmtId="0" fontId="2" fillId="0" borderId="0" xfId="0" applyFont="1" applyAlignment="1"/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4" fillId="0" borderId="2" xfId="3" applyFont="1" applyBorder="1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3" xfId="3" applyFont="1" applyBorder="1">
      <alignment vertical="center"/>
    </xf>
    <xf numFmtId="0" fontId="8" fillId="0" borderId="2" xfId="3" applyFont="1" applyBorder="1">
      <alignment vertical="center"/>
    </xf>
    <xf numFmtId="0" fontId="8" fillId="0" borderId="0" xfId="4" applyFont="1"/>
    <xf numFmtId="0" fontId="17" fillId="0" borderId="0" xfId="4" applyFont="1"/>
    <xf numFmtId="0" fontId="8" fillId="0" borderId="8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2" xfId="0" applyFont="1" applyBorder="1">
      <alignment vertical="center"/>
    </xf>
    <xf numFmtId="0" fontId="14" fillId="2" borderId="3" xfId="0" applyFont="1" applyFill="1" applyBorder="1">
      <alignment vertical="center"/>
    </xf>
    <xf numFmtId="0" fontId="14" fillId="0" borderId="0" xfId="0" applyFont="1" applyAlignment="1">
      <alignment vertical="center" wrapText="1"/>
    </xf>
    <xf numFmtId="0" fontId="14" fillId="0" borderId="0" xfId="3" applyFont="1">
      <alignment vertical="center"/>
    </xf>
    <xf numFmtId="0" fontId="8" fillId="5" borderId="1" xfId="0" applyFont="1" applyFill="1" applyBorder="1">
      <alignment vertical="center"/>
    </xf>
    <xf numFmtId="0" fontId="8" fillId="5" borderId="2" xfId="0" applyFont="1" applyFill="1" applyBorder="1">
      <alignment vertical="center"/>
    </xf>
    <xf numFmtId="0" fontId="8" fillId="5" borderId="3" xfId="0" applyFont="1" applyFill="1" applyBorder="1">
      <alignment vertical="center"/>
    </xf>
    <xf numFmtId="0" fontId="8" fillId="5" borderId="4" xfId="0" applyFont="1" applyFill="1" applyBorder="1">
      <alignment vertical="center"/>
    </xf>
    <xf numFmtId="0" fontId="8" fillId="0" borderId="1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8" xfId="3" applyFont="1" applyBorder="1">
      <alignment vertical="center"/>
    </xf>
    <xf numFmtId="0" fontId="8" fillId="2" borderId="2" xfId="0" quotePrefix="1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15" fillId="0" borderId="0" xfId="0" applyFont="1" applyAlignment="1"/>
    <xf numFmtId="0" fontId="14" fillId="0" borderId="10" xfId="3" applyFont="1" applyBorder="1">
      <alignment vertical="center"/>
    </xf>
    <xf numFmtId="0" fontId="14" fillId="0" borderId="11" xfId="3" applyFont="1" applyBorder="1">
      <alignment vertical="center"/>
    </xf>
    <xf numFmtId="0" fontId="8" fillId="0" borderId="0" xfId="3" applyFont="1">
      <alignment vertical="center"/>
    </xf>
    <xf numFmtId="0" fontId="15" fillId="0" borderId="0" xfId="0" applyFont="1">
      <alignment vertical="center"/>
    </xf>
    <xf numFmtId="0" fontId="8" fillId="0" borderId="12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16" fillId="0" borderId="0" xfId="0" applyFont="1">
      <alignment vertical="center"/>
    </xf>
    <xf numFmtId="0" fontId="16" fillId="0" borderId="9" xfId="0" applyFont="1" applyBorder="1">
      <alignment vertical="center"/>
    </xf>
    <xf numFmtId="0" fontId="16" fillId="0" borderId="11" xfId="0" applyFont="1" applyBorder="1">
      <alignment vertical="center"/>
    </xf>
    <xf numFmtId="0" fontId="16" fillId="0" borderId="12" xfId="0" applyFont="1" applyBorder="1">
      <alignment vertical="center"/>
    </xf>
    <xf numFmtId="0" fontId="8" fillId="0" borderId="4" xfId="3" applyFont="1" applyBorder="1">
      <alignment vertical="center"/>
    </xf>
    <xf numFmtId="0" fontId="8" fillId="0" borderId="1" xfId="3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3" applyFont="1" applyBorder="1" applyAlignment="1">
      <alignment horizontal="left" vertical="center"/>
    </xf>
    <xf numFmtId="0" fontId="2" fillId="0" borderId="2" xfId="3" applyFont="1" applyBorder="1">
      <alignment vertical="center"/>
    </xf>
    <xf numFmtId="0" fontId="2" fillId="0" borderId="1" xfId="3" applyFont="1" applyBorder="1">
      <alignment vertical="center"/>
    </xf>
    <xf numFmtId="0" fontId="2" fillId="0" borderId="15" xfId="3" applyFont="1" applyBorder="1" applyAlignment="1">
      <alignment horizontal="left" vertical="center"/>
    </xf>
    <xf numFmtId="0" fontId="2" fillId="0" borderId="2" xfId="3" applyFont="1" applyBorder="1" applyAlignment="1">
      <alignment horizontal="right" vertical="center"/>
    </xf>
    <xf numFmtId="0" fontId="2" fillId="0" borderId="3" xfId="3" applyFont="1" applyBorder="1" applyAlignment="1">
      <alignment horizontal="right" vertical="center"/>
    </xf>
    <xf numFmtId="0" fontId="2" fillId="0" borderId="4" xfId="3" applyFont="1" applyBorder="1" applyAlignment="1">
      <alignment horizontal="right" vertical="center"/>
    </xf>
    <xf numFmtId="0" fontId="2" fillId="0" borderId="2" xfId="3" applyFont="1" applyBorder="1" applyAlignment="1">
      <alignment horizontal="left" vertical="center"/>
    </xf>
    <xf numFmtId="0" fontId="2" fillId="0" borderId="3" xfId="3" applyFont="1" applyBorder="1" applyAlignment="1">
      <alignment horizontal="left" vertical="center"/>
    </xf>
    <xf numFmtId="0" fontId="2" fillId="0" borderId="4" xfId="3" applyFont="1" applyBorder="1" applyAlignment="1">
      <alignment horizontal="left" vertical="center"/>
    </xf>
    <xf numFmtId="0" fontId="2" fillId="0" borderId="3" xfId="3" applyFont="1" applyBorder="1">
      <alignment vertical="center"/>
    </xf>
    <xf numFmtId="0" fontId="2" fillId="0" borderId="4" xfId="3" applyFont="1" applyBorder="1">
      <alignment vertical="center"/>
    </xf>
    <xf numFmtId="0" fontId="2" fillId="0" borderId="1" xfId="3" quotePrefix="1" applyFont="1" applyBorder="1">
      <alignment vertical="center"/>
    </xf>
    <xf numFmtId="0" fontId="3" fillId="0" borderId="1" xfId="3" applyFont="1" applyBorder="1" applyAlignment="1">
      <alignment horizontal="center" vertical="center"/>
    </xf>
    <xf numFmtId="0" fontId="2" fillId="4" borderId="1" xfId="3" applyFont="1" applyFill="1" applyBorder="1" applyAlignment="1">
      <alignment horizontal="left" vertical="center"/>
    </xf>
    <xf numFmtId="0" fontId="2" fillId="4" borderId="2" xfId="3" applyFont="1" applyFill="1" applyBorder="1">
      <alignment vertical="center"/>
    </xf>
    <xf numFmtId="0" fontId="2" fillId="4" borderId="1" xfId="3" applyFont="1" applyFill="1" applyBorder="1">
      <alignment vertical="center"/>
    </xf>
    <xf numFmtId="0" fontId="8" fillId="0" borderId="1" xfId="3" applyFont="1" applyBorder="1">
      <alignment vertical="center"/>
    </xf>
    <xf numFmtId="0" fontId="8" fillId="0" borderId="2" xfId="3" applyFont="1" applyBorder="1">
      <alignment vertical="center"/>
    </xf>
    <xf numFmtId="0" fontId="8" fillId="0" borderId="3" xfId="3" applyFont="1" applyBorder="1">
      <alignment vertical="center"/>
    </xf>
    <xf numFmtId="0" fontId="8" fillId="0" borderId="4" xfId="3" applyFont="1" applyBorder="1">
      <alignment vertical="center"/>
    </xf>
    <xf numFmtId="0" fontId="8" fillId="0" borderId="2" xfId="3" applyFont="1" applyBorder="1" applyAlignment="1">
      <alignment horizontal="left" vertical="center"/>
    </xf>
    <xf numFmtId="0" fontId="8" fillId="0" borderId="3" xfId="3" applyFont="1" applyBorder="1" applyAlignment="1">
      <alignment horizontal="left" vertical="center"/>
    </xf>
    <xf numFmtId="0" fontId="8" fillId="0" borderId="4" xfId="3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0" xfId="0" applyFont="1" applyBorder="1">
      <alignment vertical="center"/>
    </xf>
    <xf numFmtId="0" fontId="8" fillId="0" borderId="14" xfId="3" applyFont="1" applyBorder="1">
      <alignment vertical="center"/>
    </xf>
    <xf numFmtId="0" fontId="8" fillId="0" borderId="15" xfId="3" applyFont="1" applyBorder="1">
      <alignment vertical="center"/>
    </xf>
    <xf numFmtId="0" fontId="8" fillId="0" borderId="5" xfId="3" applyFont="1" applyBorder="1">
      <alignment vertical="center"/>
    </xf>
    <xf numFmtId="0" fontId="8" fillId="0" borderId="7" xfId="3" applyFont="1" applyBorder="1">
      <alignment vertical="center"/>
    </xf>
    <xf numFmtId="0" fontId="8" fillId="0" borderId="10" xfId="0" applyFont="1" applyBorder="1">
      <alignment vertical="center"/>
    </xf>
    <xf numFmtId="0" fontId="8" fillId="0" borderId="10" xfId="3" applyFont="1" applyBorder="1">
      <alignment vertical="center"/>
    </xf>
    <xf numFmtId="0" fontId="8" fillId="0" borderId="12" xfId="3" applyFont="1" applyBorder="1">
      <alignment vertical="center"/>
    </xf>
    <xf numFmtId="0" fontId="8" fillId="0" borderId="11" xfId="3" applyFont="1" applyBorder="1">
      <alignment vertical="center"/>
    </xf>
    <xf numFmtId="0" fontId="8" fillId="0" borderId="6" xfId="3" applyFont="1" applyBorder="1">
      <alignment vertical="center"/>
    </xf>
    <xf numFmtId="0" fontId="14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13" fillId="5" borderId="3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14" fillId="5" borderId="1" xfId="3" applyFont="1" applyFill="1" applyBorder="1">
      <alignment vertical="center"/>
    </xf>
    <xf numFmtId="0" fontId="16" fillId="0" borderId="0" xfId="0" applyFont="1" applyAlignment="1"/>
    <xf numFmtId="0" fontId="8" fillId="0" borderId="0" xfId="3" applyFont="1" applyAlignment="1">
      <alignment horizontal="center" vertical="center"/>
    </xf>
    <xf numFmtId="0" fontId="18" fillId="0" borderId="0" xfId="0" applyFont="1">
      <alignment vertical="center"/>
    </xf>
    <xf numFmtId="0" fontId="8" fillId="5" borderId="5" xfId="0" applyFont="1" applyFill="1" applyBorder="1">
      <alignment vertical="center"/>
    </xf>
    <xf numFmtId="0" fontId="8" fillId="5" borderId="6" xfId="0" applyFont="1" applyFill="1" applyBorder="1">
      <alignment vertical="center"/>
    </xf>
    <xf numFmtId="0" fontId="8" fillId="5" borderId="7" xfId="0" applyFont="1" applyFill="1" applyBorder="1">
      <alignment vertical="center"/>
    </xf>
    <xf numFmtId="0" fontId="8" fillId="0" borderId="9" xfId="3" applyFont="1" applyBorder="1">
      <alignment vertical="center"/>
    </xf>
    <xf numFmtId="0" fontId="8" fillId="0" borderId="9" xfId="0" applyFont="1" applyBorder="1">
      <alignment vertical="center"/>
    </xf>
    <xf numFmtId="0" fontId="8" fillId="0" borderId="0" xfId="0" applyFont="1" applyAlignment="1">
      <alignment vertical="center" wrapText="1"/>
    </xf>
  </cellXfs>
  <cellStyles count="5">
    <cellStyle name="標準" xfId="0" builtinId="0"/>
    <cellStyle name="標準 2" xfId="4" xr:uid="{D7A3568F-3D42-4690-9A80-39D5C0818415}"/>
    <cellStyle name="標準 3" xfId="2" xr:uid="{71E13BA6-CDDC-49D2-95C4-C87C69ECB527}"/>
    <cellStyle name="標準 4" xfId="1" xr:uid="{00000000-0005-0000-0000-000006000000}"/>
    <cellStyle name="標準 4 2" xfId="3" xr:uid="{9D234EDF-DD20-4404-A3A6-0078D0F3306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51434</xdr:colOff>
      <xdr:row>6</xdr:row>
      <xdr:rowOff>31102</xdr:rowOff>
    </xdr:from>
    <xdr:to>
      <xdr:col>27</xdr:col>
      <xdr:colOff>93904</xdr:colOff>
      <xdr:row>21</xdr:row>
      <xdr:rowOff>210740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982FFD1-CEC3-07BB-EFE8-DB44D958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4" y="1231252"/>
          <a:ext cx="7485305" cy="3618163"/>
        </a:xfrm>
        <a:prstGeom prst="rect">
          <a:avLst/>
        </a:prstGeom>
      </xdr:spPr>
    </xdr:pic>
    <xdr:clientData/>
  </xdr:twoCellAnchor>
  <xdr:twoCellAnchor editAs="oneCell">
    <xdr:from>
      <xdr:col>1</xdr:col>
      <xdr:colOff>28501</xdr:colOff>
      <xdr:row>24</xdr:row>
      <xdr:rowOff>198120</xdr:rowOff>
    </xdr:from>
    <xdr:to>
      <xdr:col>27</xdr:col>
      <xdr:colOff>152623</xdr:colOff>
      <xdr:row>40</xdr:row>
      <xdr:rowOff>184065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8EFEB0-79AC-38B5-E57D-01B00ABD1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441" y="5509260"/>
          <a:ext cx="7454562" cy="3643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245745</xdr:colOff>
      <xdr:row>8</xdr:row>
      <xdr:rowOff>142875</xdr:rowOff>
    </xdr:from>
    <xdr:to>
      <xdr:col>17</xdr:col>
      <xdr:colOff>245745</xdr:colOff>
      <xdr:row>12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A3C2FE8-7EB4-43E8-8326-BDD5C33616C0}"/>
            </a:ext>
          </a:extLst>
        </xdr:cNvPr>
        <xdr:cNvSpPr/>
      </xdr:nvSpPr>
      <xdr:spPr>
        <a:xfrm>
          <a:off x="2821305" y="1550670"/>
          <a:ext cx="2286000" cy="8382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ホーム画面</a:t>
          </a:r>
          <a:endParaRPr kumimoji="1" lang="en-US" altLang="ja-JP" sz="10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17</xdr:col>
      <xdr:colOff>249555</xdr:colOff>
      <xdr:row>10</xdr:row>
      <xdr:rowOff>102870</xdr:rowOff>
    </xdr:from>
    <xdr:to>
      <xdr:col>23</xdr:col>
      <xdr:colOff>53340</xdr:colOff>
      <xdr:row>14</xdr:row>
      <xdr:rowOff>49530</xdr:rowOff>
    </xdr:to>
    <xdr:cxnSp macro="">
      <xdr:nvCxnSpPr>
        <xdr:cNvPr id="5" name="AutoShape 4">
          <a:extLst>
            <a:ext uri="{FF2B5EF4-FFF2-40B4-BE49-F238E27FC236}">
              <a16:creationId xmlns:a16="http://schemas.microsoft.com/office/drawing/2014/main" id="{462D4DC9-E0A2-453F-A7FC-4336DB42FFF4}"/>
            </a:ext>
          </a:extLst>
        </xdr:cNvPr>
        <xdr:cNvCxnSpPr>
          <a:cxnSpLocks noChangeShapeType="1"/>
          <a:stCxn id="3" idx="3"/>
        </xdr:cNvCxnSpPr>
      </xdr:nvCxnSpPr>
      <xdr:spPr bwMode="auto">
        <a:xfrm>
          <a:off x="5103495" y="1967865"/>
          <a:ext cx="1525905" cy="866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276225</xdr:colOff>
      <xdr:row>13</xdr:row>
      <xdr:rowOff>200025</xdr:rowOff>
    </xdr:from>
    <xdr:to>
      <xdr:col>29</xdr:col>
      <xdr:colOff>66675</xdr:colOff>
      <xdr:row>17</xdr:row>
      <xdr:rowOff>205740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C3636CF6-067A-4ACF-A050-051E61E9233E}"/>
            </a:ext>
          </a:extLst>
        </xdr:cNvPr>
        <xdr:cNvSpPr/>
      </xdr:nvSpPr>
      <xdr:spPr>
        <a:xfrm>
          <a:off x="6564630" y="2754630"/>
          <a:ext cx="1786890" cy="922020"/>
        </a:xfrm>
        <a:prstGeom prst="flowChartMagneticDisk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87630</xdr:colOff>
      <xdr:row>15</xdr:row>
      <xdr:rowOff>192405</xdr:rowOff>
    </xdr:from>
    <xdr:to>
      <xdr:col>26</xdr:col>
      <xdr:colOff>154305</xdr:colOff>
      <xdr:row>17</xdr:row>
      <xdr:rowOff>17145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D7A434A-60CE-4679-852E-7A6913DB636B}"/>
            </a:ext>
          </a:extLst>
        </xdr:cNvPr>
        <xdr:cNvSpPr txBox="1"/>
      </xdr:nvSpPr>
      <xdr:spPr>
        <a:xfrm>
          <a:off x="7235190" y="3202305"/>
          <a:ext cx="348615" cy="285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DB</a:t>
          </a:r>
          <a:endParaRPr kumimoji="1" lang="ja-JP" altLang="en-US" sz="1100"/>
        </a:p>
      </xdr:txBody>
    </xdr:sp>
    <xdr:clientData/>
  </xdr:twoCellAnchor>
  <xdr:twoCellAnchor>
    <xdr:from>
      <xdr:col>9</xdr:col>
      <xdr:colOff>247650</xdr:colOff>
      <xdr:row>17</xdr:row>
      <xdr:rowOff>163830</xdr:rowOff>
    </xdr:from>
    <xdr:to>
      <xdr:col>17</xdr:col>
      <xdr:colOff>247650</xdr:colOff>
      <xdr:row>21</xdr:row>
      <xdr:rowOff>87630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4156A15-8C57-482F-9CE1-E0F9447C93C9}"/>
            </a:ext>
          </a:extLst>
        </xdr:cNvPr>
        <xdr:cNvSpPr/>
      </xdr:nvSpPr>
      <xdr:spPr>
        <a:xfrm>
          <a:off x="2815590" y="3634740"/>
          <a:ext cx="2286000" cy="8382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検索画面</a:t>
          </a:r>
          <a:endParaRPr kumimoji="1" lang="en-US" altLang="ja-JP" sz="10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243840</xdr:colOff>
      <xdr:row>12</xdr:row>
      <xdr:rowOff>64770</xdr:rowOff>
    </xdr:from>
    <xdr:to>
      <xdr:col>13</xdr:col>
      <xdr:colOff>249555</xdr:colOff>
      <xdr:row>17</xdr:row>
      <xdr:rowOff>167640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27AA026-AAB9-4EA1-B2C4-1DEC2F36C627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3962400" y="2386965"/>
          <a:ext cx="0" cy="125158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243840</xdr:colOff>
      <xdr:row>17</xdr:row>
      <xdr:rowOff>142875</xdr:rowOff>
    </xdr:from>
    <xdr:to>
      <xdr:col>23</xdr:col>
      <xdr:colOff>104775</xdr:colOff>
      <xdr:row>19</xdr:row>
      <xdr:rowOff>129540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B92D8F5-B022-4D5A-9DB7-A4C83C1B6CCE}"/>
            </a:ext>
          </a:extLst>
        </xdr:cNvPr>
        <xdr:cNvCxnSpPr>
          <a:stCxn id="8" idx="3"/>
        </xdr:cNvCxnSpPr>
      </xdr:nvCxnSpPr>
      <xdr:spPr>
        <a:xfrm flipV="1">
          <a:off x="5105400" y="3608070"/>
          <a:ext cx="1569720" cy="4495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3"/>
  <sheetViews>
    <sheetView showGridLines="0" view="pageBreakPreview" topLeftCell="A7" zoomScale="60" zoomScaleNormal="100" workbookViewId="0">
      <selection activeCell="D51" sqref="D51"/>
    </sheetView>
  </sheetViews>
  <sheetFormatPr defaultRowHeight="18.75" x14ac:dyDescent="0.4"/>
  <cols>
    <col min="1" max="1" width="4.75" style="1" customWidth="1"/>
    <col min="2" max="2" width="11.75" style="2" customWidth="1"/>
    <col min="3" max="3" width="10.75" style="1" customWidth="1"/>
    <col min="4" max="4" width="39.5" style="1" customWidth="1"/>
    <col min="5" max="24" width="4.125" style="1" customWidth="1"/>
    <col min="25" max="25" width="10.625" style="1" customWidth="1"/>
    <col min="26" max="1025" width="9" style="1" customWidth="1"/>
  </cols>
  <sheetData>
    <row r="1" spans="1:25" x14ac:dyDescent="0.4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3" t="s">
        <v>5</v>
      </c>
    </row>
    <row r="2" spans="1:25" x14ac:dyDescent="0.4">
      <c r="A2" s="8">
        <f t="shared" ref="A2:A33" si="0">ROW()-1</f>
        <v>1</v>
      </c>
      <c r="B2" s="37"/>
      <c r="C2" s="8"/>
      <c r="D2" s="8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8"/>
    </row>
    <row r="3" spans="1:25" x14ac:dyDescent="0.4">
      <c r="A3" s="8">
        <f t="shared" si="0"/>
        <v>2</v>
      </c>
      <c r="B3" s="9"/>
      <c r="C3" s="8"/>
      <c r="D3" s="8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8"/>
    </row>
    <row r="4" spans="1:25" x14ac:dyDescent="0.4">
      <c r="A4" s="8">
        <f t="shared" si="0"/>
        <v>3</v>
      </c>
      <c r="B4" s="9"/>
      <c r="C4" s="8"/>
      <c r="D4" s="8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8"/>
    </row>
    <row r="5" spans="1:25" x14ac:dyDescent="0.4">
      <c r="A5" s="8">
        <f t="shared" si="0"/>
        <v>4</v>
      </c>
      <c r="B5" s="9"/>
      <c r="C5" s="8"/>
      <c r="D5" s="8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8"/>
    </row>
    <row r="6" spans="1:25" x14ac:dyDescent="0.4">
      <c r="A6" s="8">
        <f t="shared" si="0"/>
        <v>5</v>
      </c>
      <c r="B6" s="9"/>
      <c r="C6" s="8"/>
      <c r="D6" s="8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8"/>
    </row>
    <row r="7" spans="1:25" x14ac:dyDescent="0.4">
      <c r="A7" s="8">
        <f t="shared" si="0"/>
        <v>6</v>
      </c>
      <c r="B7" s="9"/>
      <c r="C7" s="8"/>
      <c r="D7" s="8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8"/>
    </row>
    <row r="8" spans="1:25" x14ac:dyDescent="0.4">
      <c r="A8" s="8">
        <f t="shared" si="0"/>
        <v>7</v>
      </c>
      <c r="B8" s="9"/>
      <c r="C8" s="8"/>
      <c r="D8" s="8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  <c r="Y8" s="8"/>
    </row>
    <row r="9" spans="1:25" x14ac:dyDescent="0.4">
      <c r="A9" s="8">
        <f t="shared" si="0"/>
        <v>8</v>
      </c>
      <c r="B9" s="9"/>
      <c r="C9" s="8"/>
      <c r="D9" s="8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8"/>
    </row>
    <row r="10" spans="1:25" x14ac:dyDescent="0.4">
      <c r="A10" s="8">
        <f t="shared" si="0"/>
        <v>9</v>
      </c>
      <c r="B10" s="9"/>
      <c r="C10" s="8"/>
      <c r="D10" s="8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8"/>
    </row>
    <row r="11" spans="1:25" x14ac:dyDescent="0.4">
      <c r="A11" s="8">
        <f t="shared" si="0"/>
        <v>10</v>
      </c>
      <c r="B11" s="9"/>
      <c r="C11" s="8"/>
      <c r="D11" s="8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8"/>
    </row>
    <row r="12" spans="1:25" x14ac:dyDescent="0.4">
      <c r="A12" s="8">
        <f t="shared" si="0"/>
        <v>11</v>
      </c>
      <c r="B12" s="9"/>
      <c r="C12" s="8"/>
      <c r="D12" s="8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8"/>
    </row>
    <row r="13" spans="1:25" x14ac:dyDescent="0.4">
      <c r="A13" s="8">
        <f t="shared" si="0"/>
        <v>12</v>
      </c>
      <c r="B13" s="9"/>
      <c r="C13" s="8"/>
      <c r="D13" s="8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8"/>
    </row>
    <row r="14" spans="1:25" x14ac:dyDescent="0.4">
      <c r="A14" s="8">
        <f t="shared" si="0"/>
        <v>13</v>
      </c>
      <c r="B14" s="9"/>
      <c r="C14" s="8"/>
      <c r="D14" s="8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8"/>
    </row>
    <row r="15" spans="1:25" x14ac:dyDescent="0.4">
      <c r="A15" s="8">
        <f t="shared" si="0"/>
        <v>14</v>
      </c>
      <c r="B15" s="9"/>
      <c r="C15" s="8"/>
      <c r="D15" s="8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8"/>
    </row>
    <row r="16" spans="1:25" x14ac:dyDescent="0.4">
      <c r="A16" s="8">
        <f t="shared" si="0"/>
        <v>15</v>
      </c>
      <c r="B16" s="9"/>
      <c r="C16" s="8"/>
      <c r="D16" s="8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8"/>
    </row>
    <row r="17" spans="1:25" x14ac:dyDescent="0.4">
      <c r="A17" s="8">
        <f t="shared" si="0"/>
        <v>16</v>
      </c>
      <c r="B17" s="9"/>
      <c r="C17" s="8"/>
      <c r="D17" s="8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8"/>
    </row>
    <row r="18" spans="1:25" x14ac:dyDescent="0.4">
      <c r="A18" s="8">
        <f t="shared" si="0"/>
        <v>17</v>
      </c>
      <c r="B18" s="9"/>
      <c r="C18" s="8"/>
      <c r="D18" s="8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8"/>
    </row>
    <row r="19" spans="1:25" x14ac:dyDescent="0.4">
      <c r="A19" s="8">
        <f t="shared" si="0"/>
        <v>18</v>
      </c>
      <c r="B19" s="9"/>
      <c r="C19" s="8"/>
      <c r="D19" s="8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8"/>
    </row>
    <row r="20" spans="1:25" x14ac:dyDescent="0.4">
      <c r="A20" s="8">
        <f t="shared" si="0"/>
        <v>19</v>
      </c>
      <c r="B20" s="9"/>
      <c r="C20" s="8"/>
      <c r="D20" s="8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8"/>
    </row>
    <row r="21" spans="1:25" x14ac:dyDescent="0.4">
      <c r="A21" s="8">
        <f t="shared" si="0"/>
        <v>20</v>
      </c>
      <c r="B21" s="9"/>
      <c r="C21" s="8"/>
      <c r="D21" s="8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8"/>
    </row>
    <row r="22" spans="1:25" x14ac:dyDescent="0.4">
      <c r="A22" s="8">
        <f t="shared" si="0"/>
        <v>21</v>
      </c>
      <c r="B22" s="9"/>
      <c r="C22" s="8"/>
      <c r="D22" s="8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8"/>
    </row>
    <row r="23" spans="1:25" x14ac:dyDescent="0.4">
      <c r="A23" s="8">
        <f t="shared" si="0"/>
        <v>22</v>
      </c>
      <c r="B23" s="9"/>
      <c r="C23" s="8"/>
      <c r="D23" s="8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8"/>
    </row>
    <row r="24" spans="1:25" x14ac:dyDescent="0.4">
      <c r="A24" s="8">
        <f t="shared" si="0"/>
        <v>23</v>
      </c>
      <c r="B24" s="9"/>
      <c r="C24" s="8"/>
      <c r="D24" s="8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8"/>
    </row>
    <row r="25" spans="1:25" x14ac:dyDescent="0.4">
      <c r="A25" s="8">
        <f t="shared" si="0"/>
        <v>24</v>
      </c>
      <c r="B25" s="9"/>
      <c r="C25" s="8"/>
      <c r="D25" s="8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8"/>
    </row>
    <row r="26" spans="1:25" x14ac:dyDescent="0.4">
      <c r="A26" s="8">
        <f t="shared" si="0"/>
        <v>25</v>
      </c>
      <c r="B26" s="9"/>
      <c r="C26" s="8"/>
      <c r="D26" s="8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8"/>
    </row>
    <row r="27" spans="1:25" x14ac:dyDescent="0.4">
      <c r="A27" s="8">
        <f t="shared" si="0"/>
        <v>26</v>
      </c>
      <c r="B27" s="9"/>
      <c r="C27" s="8"/>
      <c r="D27" s="8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8"/>
    </row>
    <row r="28" spans="1:25" x14ac:dyDescent="0.4">
      <c r="A28" s="8">
        <f t="shared" si="0"/>
        <v>27</v>
      </c>
      <c r="B28" s="9"/>
      <c r="C28" s="8"/>
      <c r="D28" s="8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8"/>
    </row>
    <row r="29" spans="1:25" x14ac:dyDescent="0.4">
      <c r="A29" s="8">
        <f t="shared" si="0"/>
        <v>28</v>
      </c>
      <c r="B29" s="9"/>
      <c r="C29" s="8"/>
      <c r="D29" s="8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8"/>
    </row>
    <row r="30" spans="1:25" x14ac:dyDescent="0.4">
      <c r="A30" s="8">
        <f t="shared" si="0"/>
        <v>29</v>
      </c>
      <c r="B30" s="9"/>
      <c r="C30" s="8"/>
      <c r="D30" s="8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8"/>
    </row>
    <row r="31" spans="1:25" x14ac:dyDescent="0.4">
      <c r="A31" s="8">
        <f t="shared" si="0"/>
        <v>30</v>
      </c>
      <c r="B31" s="9"/>
      <c r="C31" s="8"/>
      <c r="D31" s="8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8"/>
    </row>
    <row r="32" spans="1:25" x14ac:dyDescent="0.4">
      <c r="A32" s="8">
        <f t="shared" si="0"/>
        <v>31</v>
      </c>
      <c r="B32" s="9"/>
      <c r="C32" s="8"/>
      <c r="D32" s="8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8"/>
    </row>
    <row r="33" spans="1:25" x14ac:dyDescent="0.4">
      <c r="A33" s="8">
        <f t="shared" si="0"/>
        <v>32</v>
      </c>
      <c r="B33" s="9"/>
      <c r="C33" s="8"/>
      <c r="D33" s="8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8"/>
    </row>
  </sheetData>
  <phoneticPr fontId="7"/>
  <pageMargins left="0.19685039370078741" right="0.19685039370078741" top="0.39370078740157483" bottom="0.39370078740157483" header="0.51181102362204722" footer="0.51181102362204722"/>
  <pageSetup paperSize="9" scale="83" firstPageNumber="0" fitToHeight="0" orientation="landscape" horizontalDpi="300" verticalDpi="300" r:id="rId1"/>
  <headerFooter>
    <oddFooter>&amp;C&amp;P/&amp;N&amp;RCopyright © 2022 NeTS Co. Ltd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K35"/>
  <sheetViews>
    <sheetView topLeftCell="A13" zoomScaleNormal="100" zoomScaleSheetLayoutView="85" workbookViewId="0">
      <selection activeCell="N25" sqref="N25"/>
    </sheetView>
  </sheetViews>
  <sheetFormatPr defaultRowHeight="18.75" x14ac:dyDescent="0.4"/>
  <cols>
    <col min="1" max="1025" width="3.75" style="1" customWidth="1"/>
  </cols>
  <sheetData>
    <row r="1" spans="1:40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94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46143</v>
      </c>
      <c r="AL1" s="109"/>
      <c r="AM1" s="109"/>
      <c r="AN1" s="110"/>
    </row>
    <row r="2" spans="1:40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46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42</v>
      </c>
      <c r="AL2" s="11"/>
      <c r="AM2" s="11"/>
      <c r="AN2" s="12"/>
    </row>
    <row r="3" spans="1:40" ht="3" customHeight="1" x14ac:dyDescent="0.4"/>
    <row r="4" spans="1:40" x14ac:dyDescent="0.4">
      <c r="A4" s="14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x14ac:dyDescent="0.4">
      <c r="A6" s="20"/>
      <c r="B6" s="72" t="s">
        <v>175</v>
      </c>
      <c r="C6" s="68"/>
      <c r="D6" s="68"/>
      <c r="AN6" s="21"/>
    </row>
    <row r="7" spans="1:40" x14ac:dyDescent="0.4">
      <c r="A7" s="20"/>
      <c r="AN7" s="21"/>
    </row>
    <row r="8" spans="1:40" x14ac:dyDescent="0.4">
      <c r="A8" s="20"/>
      <c r="AN8" s="21"/>
    </row>
    <row r="9" spans="1:40" x14ac:dyDescent="0.4">
      <c r="A9" s="20"/>
      <c r="AN9" s="21"/>
    </row>
    <row r="10" spans="1:40" x14ac:dyDescent="0.4">
      <c r="A10" s="20"/>
      <c r="AN10" s="21"/>
    </row>
    <row r="11" spans="1:40" x14ac:dyDescent="0.4">
      <c r="A11" s="20"/>
      <c r="AN11" s="21"/>
    </row>
    <row r="12" spans="1:40" ht="19.5" x14ac:dyDescent="0.4">
      <c r="A12" s="20"/>
      <c r="B12" s="67"/>
      <c r="AN12" s="21"/>
    </row>
    <row r="13" spans="1:40" x14ac:dyDescent="0.4">
      <c r="A13" s="20"/>
      <c r="D13" s="122"/>
      <c r="E13" s="122"/>
      <c r="AN13" s="21"/>
    </row>
    <row r="14" spans="1:40" x14ac:dyDescent="0.4">
      <c r="A14" s="20"/>
      <c r="AN14" s="21"/>
    </row>
    <row r="15" spans="1:40" x14ac:dyDescent="0.4">
      <c r="A15" s="20"/>
      <c r="AN15" s="21"/>
    </row>
    <row r="16" spans="1:40" x14ac:dyDescent="0.4">
      <c r="A16" s="20"/>
      <c r="AN16" s="21"/>
    </row>
    <row r="17" spans="1:40" x14ac:dyDescent="0.4">
      <c r="A17" s="20"/>
      <c r="AN17" s="21"/>
    </row>
    <row r="18" spans="1:40" x14ac:dyDescent="0.4">
      <c r="A18" s="20"/>
      <c r="AN18" s="21"/>
    </row>
    <row r="19" spans="1:40" x14ac:dyDescent="0.4">
      <c r="A19" s="20"/>
      <c r="AN19" s="21"/>
    </row>
    <row r="20" spans="1:40" x14ac:dyDescent="0.4">
      <c r="A20" s="20"/>
      <c r="AN20" s="21"/>
    </row>
    <row r="21" spans="1:40" x14ac:dyDescent="0.4">
      <c r="A21" s="20"/>
      <c r="AN21" s="21"/>
    </row>
    <row r="22" spans="1:40" x14ac:dyDescent="0.4">
      <c r="A22" s="20"/>
      <c r="AN22" s="21"/>
    </row>
    <row r="23" spans="1:40" x14ac:dyDescent="0.4">
      <c r="A23" s="20"/>
      <c r="AN23" s="21"/>
    </row>
    <row r="24" spans="1:40" x14ac:dyDescent="0.4">
      <c r="A24" s="20"/>
      <c r="B24" s="72" t="s">
        <v>176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AN24" s="21"/>
    </row>
    <row r="25" spans="1:40" x14ac:dyDescent="0.4">
      <c r="A25" s="20"/>
      <c r="AN25" s="21"/>
    </row>
    <row r="26" spans="1:40" x14ac:dyDescent="0.4">
      <c r="A26" s="20"/>
      <c r="AN26" s="21"/>
    </row>
    <row r="27" spans="1:40" x14ac:dyDescent="0.4">
      <c r="A27" s="20"/>
      <c r="AN27" s="21"/>
    </row>
    <row r="28" spans="1:40" x14ac:dyDescent="0.4">
      <c r="A28" s="20"/>
      <c r="AN28" s="21"/>
    </row>
    <row r="29" spans="1:40" x14ac:dyDescent="0.4">
      <c r="A29" s="20"/>
      <c r="AN29" s="21"/>
    </row>
    <row r="30" spans="1:40" x14ac:dyDescent="0.4">
      <c r="A30" s="20"/>
      <c r="AN30" s="21"/>
    </row>
    <row r="31" spans="1:40" x14ac:dyDescent="0.4">
      <c r="A31" s="20"/>
      <c r="AN31" s="21"/>
    </row>
    <row r="32" spans="1:40" x14ac:dyDescent="0.4">
      <c r="A32" s="20"/>
      <c r="AN32" s="21"/>
    </row>
    <row r="33" spans="1:40" x14ac:dyDescent="0.4">
      <c r="A33" s="20"/>
      <c r="AN33" s="21"/>
    </row>
    <row r="34" spans="1:40" x14ac:dyDescent="0.4">
      <c r="A34" s="20"/>
      <c r="AN34" s="21"/>
    </row>
    <row r="35" spans="1:40" x14ac:dyDescent="0.4">
      <c r="A35" s="20"/>
      <c r="AN35" s="21"/>
    </row>
  </sheetData>
  <mergeCells count="3">
    <mergeCell ref="A1:H2"/>
    <mergeCell ref="AK1:AN1"/>
    <mergeCell ref="D13:E13"/>
  </mergeCells>
  <phoneticPr fontId="7"/>
  <pageMargins left="0.19685039370078741" right="0.19685039370078741" top="0.39370078740157483" bottom="0.39370078740157483" header="0.51181102362204722" footer="0.51181102362204722"/>
  <pageSetup paperSize="9" scale="76" firstPageNumber="0" orientation="landscape" horizontalDpi="300" verticalDpi="300" r:id="rId1"/>
  <headerFooter>
    <oddFooter>&amp;C&amp;P/&amp;N&amp;RCopyright © 2022 NeTS Co. Ltd All rights reserved.</oddFooter>
  </headerFooter>
  <colBreaks count="1" manualBreakCount="1">
    <brk id="4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MK29"/>
  <sheetViews>
    <sheetView showGridLines="0" view="pageBreakPreview" zoomScaleNormal="100" zoomScaleSheetLayoutView="100" workbookViewId="0">
      <selection activeCell="Z29" sqref="Z29"/>
    </sheetView>
  </sheetViews>
  <sheetFormatPr defaultRowHeight="18.75" x14ac:dyDescent="0.4"/>
  <cols>
    <col min="1" max="1025" width="3.75" style="1" customWidth="1"/>
  </cols>
  <sheetData>
    <row r="1" spans="1:40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125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46125</v>
      </c>
      <c r="AL1" s="109"/>
      <c r="AM1" s="109"/>
      <c r="AN1" s="110"/>
    </row>
    <row r="2" spans="1:40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43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42</v>
      </c>
      <c r="AL2" s="11"/>
      <c r="AM2" s="11"/>
      <c r="AN2" s="12"/>
    </row>
    <row r="3" spans="1:40" ht="3" customHeight="1" x14ac:dyDescent="0.4"/>
    <row r="4" spans="1:40" x14ac:dyDescent="0.4">
      <c r="A4" s="14" t="s">
        <v>13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x14ac:dyDescent="0.4">
      <c r="A6" s="20"/>
      <c r="AN6" s="21"/>
    </row>
    <row r="7" spans="1:40" x14ac:dyDescent="0.4">
      <c r="A7" s="20"/>
      <c r="AN7" s="21"/>
    </row>
    <row r="8" spans="1:40" x14ac:dyDescent="0.4">
      <c r="A8" s="20"/>
      <c r="AN8" s="21"/>
    </row>
    <row r="9" spans="1:40" x14ac:dyDescent="0.4">
      <c r="A9" s="20"/>
      <c r="AN9" s="21"/>
    </row>
    <row r="10" spans="1:40" x14ac:dyDescent="0.4">
      <c r="A10" s="20"/>
      <c r="AN10" s="21"/>
    </row>
    <row r="11" spans="1:40" x14ac:dyDescent="0.4">
      <c r="A11" s="20"/>
      <c r="AN11" s="21"/>
    </row>
    <row r="12" spans="1:40" x14ac:dyDescent="0.4">
      <c r="A12" s="20"/>
      <c r="AN12" s="21"/>
    </row>
    <row r="13" spans="1:40" x14ac:dyDescent="0.4">
      <c r="A13" s="20"/>
      <c r="AN13" s="21"/>
    </row>
    <row r="14" spans="1:40" x14ac:dyDescent="0.4">
      <c r="A14" s="20"/>
      <c r="AN14" s="21"/>
    </row>
    <row r="15" spans="1:40" x14ac:dyDescent="0.4">
      <c r="A15" s="20"/>
      <c r="AN15" s="21"/>
    </row>
    <row r="16" spans="1:40" x14ac:dyDescent="0.4">
      <c r="A16" s="20"/>
      <c r="AN16" s="21"/>
    </row>
    <row r="17" spans="1:40" x14ac:dyDescent="0.4">
      <c r="A17" s="20"/>
      <c r="AN17" s="21"/>
    </row>
    <row r="18" spans="1:40" x14ac:dyDescent="0.4">
      <c r="A18" s="20"/>
      <c r="AN18" s="21"/>
    </row>
    <row r="19" spans="1:40" x14ac:dyDescent="0.4">
      <c r="A19" s="20"/>
      <c r="AN19" s="21"/>
    </row>
    <row r="20" spans="1:40" x14ac:dyDescent="0.4">
      <c r="A20" s="20"/>
      <c r="AN20" s="21"/>
    </row>
    <row r="21" spans="1:40" x14ac:dyDescent="0.4">
      <c r="A21" s="20"/>
      <c r="AN21" s="21"/>
    </row>
    <row r="22" spans="1:40" x14ac:dyDescent="0.4">
      <c r="A22" s="20"/>
      <c r="AN22" s="21"/>
    </row>
    <row r="23" spans="1:40" x14ac:dyDescent="0.4">
      <c r="A23" s="20"/>
      <c r="AN23" s="21"/>
    </row>
    <row r="24" spans="1:40" x14ac:dyDescent="0.4">
      <c r="A24" s="22"/>
      <c r="B24" s="23"/>
      <c r="C24" s="23"/>
      <c r="D24" s="23"/>
      <c r="E24" s="23"/>
      <c r="F24" s="23"/>
      <c r="G24" s="23"/>
      <c r="AG24" s="23"/>
      <c r="AH24" s="23"/>
      <c r="AI24" s="23"/>
      <c r="AJ24" s="23"/>
      <c r="AK24" s="23"/>
      <c r="AL24" s="23"/>
      <c r="AM24" s="23"/>
      <c r="AN24" s="24"/>
    </row>
    <row r="25" spans="1:40" x14ac:dyDescent="0.4">
      <c r="A25" s="14" t="s">
        <v>14</v>
      </c>
      <c r="B25" s="2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/>
    </row>
    <row r="26" spans="1:40" x14ac:dyDescent="0.4">
      <c r="A26" s="3" t="s">
        <v>15</v>
      </c>
      <c r="B26" s="26" t="s">
        <v>16</v>
      </c>
      <c r="C26" s="5" t="s">
        <v>9</v>
      </c>
      <c r="D26" s="6"/>
      <c r="E26" s="6"/>
      <c r="F26" s="6"/>
      <c r="G26" s="6"/>
      <c r="H26" s="6"/>
      <c r="I26" s="6"/>
      <c r="J26" s="5" t="s">
        <v>11</v>
      </c>
      <c r="K26" s="6"/>
      <c r="L26" s="6"/>
      <c r="M26" s="6"/>
      <c r="N26" s="6"/>
      <c r="O26" s="6"/>
      <c r="P26" s="6"/>
      <c r="Q26" s="5" t="s">
        <v>17</v>
      </c>
      <c r="R26" s="6"/>
      <c r="S26" s="7"/>
      <c r="T26" s="5" t="s">
        <v>18</v>
      </c>
      <c r="U26" s="7"/>
      <c r="V26" s="5" t="s">
        <v>19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7"/>
    </row>
    <row r="27" spans="1:40" x14ac:dyDescent="0.4">
      <c r="A27" s="8">
        <v>1</v>
      </c>
      <c r="B27" s="27" t="str">
        <f>$B$26</f>
        <v>I/O</v>
      </c>
      <c r="C27" s="10" t="s">
        <v>125</v>
      </c>
      <c r="D27" s="11"/>
      <c r="E27" s="11"/>
      <c r="F27" s="11"/>
      <c r="G27" s="11"/>
      <c r="H27" s="11"/>
      <c r="I27" s="11"/>
      <c r="J27" s="10" t="s">
        <v>96</v>
      </c>
      <c r="K27" s="11"/>
      <c r="L27" s="11"/>
      <c r="M27" s="11"/>
      <c r="N27" s="11"/>
      <c r="O27" s="11"/>
      <c r="P27" s="11"/>
      <c r="Q27" s="10"/>
      <c r="R27" s="11"/>
      <c r="S27" s="12"/>
      <c r="T27" s="10" t="s">
        <v>47</v>
      </c>
      <c r="U27" s="12"/>
      <c r="V27" s="10" t="s">
        <v>97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2"/>
    </row>
    <row r="28" spans="1:40" x14ac:dyDescent="0.4">
      <c r="A28" s="8">
        <v>2</v>
      </c>
      <c r="B28" s="27" t="str">
        <f>$B$26</f>
        <v>I/O</v>
      </c>
      <c r="C28" s="10" t="s">
        <v>178</v>
      </c>
      <c r="D28" s="11"/>
      <c r="E28" s="11"/>
      <c r="F28" s="11"/>
      <c r="G28" s="11"/>
      <c r="H28" s="11"/>
      <c r="I28" s="11"/>
      <c r="J28" s="10" t="s">
        <v>179</v>
      </c>
      <c r="K28" s="11"/>
      <c r="L28" s="11"/>
      <c r="M28" s="11"/>
      <c r="N28" s="11"/>
      <c r="O28" s="11"/>
      <c r="P28" s="11"/>
      <c r="Q28" s="10"/>
      <c r="R28" s="11"/>
      <c r="S28" s="12"/>
      <c r="T28" s="10" t="s">
        <v>47</v>
      </c>
      <c r="U28" s="12"/>
      <c r="V28" s="10" t="s">
        <v>180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2"/>
    </row>
    <row r="29" spans="1:40" x14ac:dyDescent="0.4">
      <c r="A29" s="8">
        <v>3</v>
      </c>
      <c r="B29" s="27" t="str">
        <f>$B$26</f>
        <v>I/O</v>
      </c>
      <c r="C29" s="10" t="s">
        <v>49</v>
      </c>
      <c r="D29" s="11"/>
      <c r="E29" s="11"/>
      <c r="F29" s="11"/>
      <c r="G29" s="11"/>
      <c r="H29" s="11"/>
      <c r="I29" s="11"/>
      <c r="J29" s="10" t="s">
        <v>50</v>
      </c>
      <c r="K29" s="11"/>
      <c r="L29" s="11"/>
      <c r="M29" s="11"/>
      <c r="N29" s="11"/>
      <c r="O29" s="11"/>
      <c r="P29" s="11"/>
      <c r="Q29" s="10"/>
      <c r="R29" s="11"/>
      <c r="S29" s="12"/>
      <c r="T29" s="10" t="s">
        <v>47</v>
      </c>
      <c r="U29" s="12"/>
      <c r="V29" s="10" t="s">
        <v>48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2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88" firstPageNumber="0" orientation="landscape" horizontalDpi="300" verticalDpi="300" r:id="rId1"/>
  <headerFooter>
    <oddFooter>&amp;C&amp;P/&amp;N
&amp;RCopyright © 2022 NeTS Co. Ltd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3E50-2B55-4653-8779-612C26AF121D}">
  <sheetPr codeName="Sheet4">
    <pageSetUpPr fitToPage="1"/>
  </sheetPr>
  <dimension ref="A1:AMR23"/>
  <sheetViews>
    <sheetView showGridLines="0" view="pageBreakPreview" zoomScaleNormal="100" zoomScaleSheetLayoutView="100" zoomScalePageLayoutView="85" workbookViewId="0">
      <selection activeCell="I31" sqref="I31"/>
    </sheetView>
  </sheetViews>
  <sheetFormatPr defaultColWidth="8.75" defaultRowHeight="16.5" x14ac:dyDescent="0.15"/>
  <cols>
    <col min="1" max="27" width="3.75" style="45" customWidth="1"/>
    <col min="28" max="28" width="7.625" style="45" customWidth="1"/>
    <col min="29" max="1032" width="3.75" style="45" customWidth="1"/>
    <col min="1033" max="16384" width="8.75" style="52"/>
  </cols>
  <sheetData>
    <row r="1" spans="1:47" x14ac:dyDescent="0.15">
      <c r="A1" s="136" t="s">
        <v>7</v>
      </c>
      <c r="B1" s="136"/>
      <c r="C1" s="136"/>
      <c r="D1" s="136"/>
      <c r="E1" s="136"/>
      <c r="F1" s="136"/>
      <c r="G1" s="136"/>
      <c r="H1" s="136"/>
      <c r="I1" s="136"/>
      <c r="J1" s="136"/>
      <c r="K1" s="39" t="s">
        <v>8</v>
      </c>
      <c r="L1" s="40"/>
      <c r="M1" s="40"/>
      <c r="N1" s="41"/>
      <c r="O1" s="13" t="s">
        <v>63</v>
      </c>
      <c r="P1" s="28"/>
      <c r="Q1" s="28"/>
      <c r="R1" s="28"/>
      <c r="S1" s="28"/>
      <c r="T1" s="43"/>
      <c r="U1" s="43"/>
      <c r="V1" s="43"/>
      <c r="W1" s="43"/>
      <c r="X1" s="43"/>
      <c r="Y1" s="43"/>
      <c r="Z1" s="43"/>
      <c r="AA1" s="43"/>
      <c r="AB1" s="39" t="s">
        <v>9</v>
      </c>
      <c r="AC1" s="40"/>
      <c r="AD1" s="40"/>
      <c r="AE1" s="41"/>
      <c r="AF1" s="10" t="s">
        <v>125</v>
      </c>
      <c r="AG1" s="43"/>
      <c r="AH1" s="43"/>
      <c r="AI1" s="43"/>
      <c r="AJ1" s="43"/>
      <c r="AK1" s="43"/>
      <c r="AL1" s="43"/>
      <c r="AM1" s="43"/>
      <c r="AN1" s="44"/>
      <c r="AO1" s="39" t="s">
        <v>1</v>
      </c>
      <c r="AP1" s="40"/>
      <c r="AQ1" s="41"/>
      <c r="AR1" s="108">
        <v>46136</v>
      </c>
      <c r="AS1" s="109"/>
      <c r="AT1" s="109"/>
      <c r="AU1" s="110"/>
    </row>
    <row r="2" spans="1:47" x14ac:dyDescent="0.1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39" t="s">
        <v>10</v>
      </c>
      <c r="L2" s="40"/>
      <c r="M2" s="40"/>
      <c r="N2" s="41"/>
      <c r="O2" s="13" t="s">
        <v>43</v>
      </c>
      <c r="P2" s="28"/>
      <c r="Q2" s="28"/>
      <c r="R2" s="28"/>
      <c r="S2" s="28"/>
      <c r="T2" s="43"/>
      <c r="U2" s="43"/>
      <c r="V2" s="43"/>
      <c r="W2" s="43"/>
      <c r="X2" s="43"/>
      <c r="Y2" s="43"/>
      <c r="Z2" s="43"/>
      <c r="AA2" s="43"/>
      <c r="AB2" s="39" t="s">
        <v>11</v>
      </c>
      <c r="AC2" s="40"/>
      <c r="AD2" s="40"/>
      <c r="AE2" s="41"/>
      <c r="AF2" s="10" t="s">
        <v>96</v>
      </c>
      <c r="AG2" s="43"/>
      <c r="AH2" s="43"/>
      <c r="AI2" s="43"/>
      <c r="AJ2" s="43"/>
      <c r="AK2" s="43"/>
      <c r="AL2" s="43"/>
      <c r="AM2" s="43"/>
      <c r="AN2" s="44"/>
      <c r="AO2" s="39" t="s">
        <v>2</v>
      </c>
      <c r="AP2" s="40"/>
      <c r="AQ2" s="41"/>
      <c r="AR2" s="10" t="s">
        <v>42</v>
      </c>
      <c r="AS2" s="43"/>
      <c r="AT2" s="43"/>
      <c r="AU2" s="44"/>
    </row>
    <row r="3" spans="1:47" ht="3" customHeight="1" x14ac:dyDescent="0.15"/>
    <row r="4" spans="1:47" x14ac:dyDescent="0.15">
      <c r="A4" s="46" t="s">
        <v>20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8"/>
    </row>
    <row r="5" spans="1:47" x14ac:dyDescent="0.15">
      <c r="A5" s="49" t="s">
        <v>21</v>
      </c>
      <c r="B5" s="137" t="s">
        <v>22</v>
      </c>
      <c r="C5" s="137"/>
      <c r="D5" s="137"/>
      <c r="E5" s="137"/>
      <c r="F5" s="137"/>
      <c r="G5" s="137"/>
      <c r="H5" s="137"/>
      <c r="I5" s="137"/>
      <c r="J5" s="137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 t="s">
        <v>23</v>
      </c>
      <c r="V5" s="138"/>
      <c r="W5" s="138"/>
      <c r="X5" s="138"/>
      <c r="Y5" s="139" t="s">
        <v>24</v>
      </c>
      <c r="Z5" s="139"/>
      <c r="AA5" s="139"/>
      <c r="AB5" s="139"/>
      <c r="AC5" s="137" t="s">
        <v>19</v>
      </c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</row>
    <row r="6" spans="1:47" s="45" customFormat="1" x14ac:dyDescent="0.4">
      <c r="A6" s="50">
        <f>ROW()-5</f>
        <v>1</v>
      </c>
      <c r="B6" s="123" t="s">
        <v>54</v>
      </c>
      <c r="C6" s="123"/>
      <c r="D6" s="123"/>
      <c r="E6" s="123"/>
      <c r="F6" s="123"/>
      <c r="G6" s="123"/>
      <c r="H6" s="123"/>
      <c r="I6" s="123"/>
      <c r="J6" s="123"/>
      <c r="K6" s="42" t="s">
        <v>55</v>
      </c>
      <c r="L6" s="43"/>
      <c r="M6" s="43"/>
      <c r="N6" s="43"/>
      <c r="O6" s="43"/>
      <c r="P6" s="43"/>
      <c r="Q6" s="43"/>
      <c r="R6" s="43"/>
      <c r="S6" s="43"/>
      <c r="T6" s="43"/>
      <c r="U6" s="124" t="s">
        <v>174</v>
      </c>
      <c r="V6" s="124"/>
      <c r="W6" s="124"/>
      <c r="X6" s="124"/>
      <c r="Y6" s="135" t="s">
        <v>62</v>
      </c>
      <c r="Z6" s="125"/>
      <c r="AA6" s="125"/>
      <c r="AB6" s="125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</row>
    <row r="7" spans="1:47" s="45" customFormat="1" x14ac:dyDescent="0.4">
      <c r="A7" s="50">
        <f t="shared" ref="A7:A23" si="0">ROW()-5</f>
        <v>2</v>
      </c>
      <c r="B7" s="123" t="s">
        <v>56</v>
      </c>
      <c r="C7" s="123"/>
      <c r="D7" s="123"/>
      <c r="E7" s="123"/>
      <c r="F7" s="123"/>
      <c r="G7" s="123"/>
      <c r="H7" s="123"/>
      <c r="I7" s="123"/>
      <c r="J7" s="123"/>
      <c r="K7" s="42" t="s">
        <v>58</v>
      </c>
      <c r="L7" s="43"/>
      <c r="M7" s="43"/>
      <c r="N7" s="43"/>
      <c r="O7" s="43"/>
      <c r="P7" s="43"/>
      <c r="Q7" s="43"/>
      <c r="R7" s="43"/>
      <c r="S7" s="43"/>
      <c r="T7" s="43"/>
      <c r="U7" s="124" t="s">
        <v>174</v>
      </c>
      <c r="V7" s="124"/>
      <c r="W7" s="124"/>
      <c r="X7" s="124"/>
      <c r="Y7" s="125" t="s">
        <v>60</v>
      </c>
      <c r="Z7" s="125"/>
      <c r="AA7" s="125"/>
      <c r="AB7" s="125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</row>
    <row r="8" spans="1:47" s="45" customFormat="1" x14ac:dyDescent="0.4">
      <c r="A8" s="50">
        <f t="shared" si="0"/>
        <v>3</v>
      </c>
      <c r="B8" s="123" t="s">
        <v>57</v>
      </c>
      <c r="C8" s="123"/>
      <c r="D8" s="123"/>
      <c r="E8" s="123"/>
      <c r="F8" s="123"/>
      <c r="G8" s="123"/>
      <c r="H8" s="123"/>
      <c r="I8" s="123"/>
      <c r="J8" s="123"/>
      <c r="K8" s="42" t="s">
        <v>59</v>
      </c>
      <c r="L8" s="43"/>
      <c r="M8" s="43"/>
      <c r="N8" s="43"/>
      <c r="O8" s="43"/>
      <c r="P8" s="43"/>
      <c r="Q8" s="43"/>
      <c r="R8" s="43"/>
      <c r="S8" s="43"/>
      <c r="T8" s="43"/>
      <c r="U8" s="124" t="s">
        <v>174</v>
      </c>
      <c r="V8" s="124"/>
      <c r="W8" s="124"/>
      <c r="X8" s="124"/>
      <c r="Y8" s="125" t="s">
        <v>61</v>
      </c>
      <c r="Z8" s="125"/>
      <c r="AA8" s="125"/>
      <c r="AB8" s="125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</row>
    <row r="9" spans="1:47" x14ac:dyDescent="0.15">
      <c r="A9" s="50">
        <f t="shared" si="0"/>
        <v>4</v>
      </c>
      <c r="B9" s="61" t="s">
        <v>152</v>
      </c>
      <c r="C9" s="61"/>
      <c r="D9" s="61"/>
      <c r="E9" s="62"/>
      <c r="F9" s="64"/>
      <c r="G9" s="64"/>
      <c r="H9" s="64"/>
      <c r="I9" s="64"/>
      <c r="J9" s="63"/>
      <c r="K9" s="42" t="s">
        <v>150</v>
      </c>
      <c r="L9" s="43"/>
      <c r="M9" s="43"/>
      <c r="N9" s="43"/>
      <c r="O9" s="43"/>
      <c r="P9" s="43"/>
      <c r="Q9" s="43"/>
      <c r="R9" s="43"/>
      <c r="S9" s="43"/>
      <c r="T9" s="43"/>
      <c r="U9" s="42" t="s">
        <v>82</v>
      </c>
      <c r="V9" s="43"/>
      <c r="W9" s="43"/>
      <c r="X9" s="44"/>
      <c r="Y9" s="141">
        <v>1</v>
      </c>
      <c r="Z9" s="142"/>
      <c r="AA9" s="142"/>
      <c r="AB9" s="14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</row>
    <row r="10" spans="1:47" x14ac:dyDescent="0.15">
      <c r="A10" s="50">
        <f t="shared" si="0"/>
        <v>5</v>
      </c>
      <c r="B10" s="123" t="s">
        <v>151</v>
      </c>
      <c r="C10" s="123"/>
      <c r="D10" s="123"/>
      <c r="E10" s="123"/>
      <c r="F10" s="123"/>
      <c r="G10" s="123"/>
      <c r="H10" s="123"/>
      <c r="I10" s="123"/>
      <c r="J10" s="123"/>
      <c r="K10" s="42" t="s">
        <v>153</v>
      </c>
      <c r="L10" s="43"/>
      <c r="M10" s="43"/>
      <c r="N10" s="43"/>
      <c r="O10" s="43"/>
      <c r="P10" s="43"/>
      <c r="Q10" s="43"/>
      <c r="R10" s="43"/>
      <c r="S10" s="43"/>
      <c r="T10" s="43"/>
      <c r="U10" s="124" t="s">
        <v>82</v>
      </c>
      <c r="V10" s="124"/>
      <c r="W10" s="124"/>
      <c r="X10" s="124"/>
      <c r="Y10" s="140">
        <v>0</v>
      </c>
      <c r="Z10" s="140"/>
      <c r="AA10" s="140"/>
      <c r="AB10" s="140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</row>
    <row r="11" spans="1:47" x14ac:dyDescent="0.15">
      <c r="A11" s="50">
        <f t="shared" si="0"/>
        <v>6</v>
      </c>
      <c r="B11" s="123" t="s">
        <v>154</v>
      </c>
      <c r="C11" s="123"/>
      <c r="D11" s="123"/>
      <c r="E11" s="123"/>
      <c r="F11" s="123"/>
      <c r="G11" s="123"/>
      <c r="H11" s="123"/>
      <c r="I11" s="123"/>
      <c r="J11" s="123"/>
      <c r="K11" s="42" t="s">
        <v>157</v>
      </c>
      <c r="L11" s="43"/>
      <c r="M11" s="43"/>
      <c r="N11" s="43"/>
      <c r="O11" s="43"/>
      <c r="P11" s="43"/>
      <c r="Q11" s="43"/>
      <c r="R11" s="43"/>
      <c r="S11" s="43"/>
      <c r="T11" s="43"/>
      <c r="U11" s="124" t="s">
        <v>82</v>
      </c>
      <c r="V11" s="124"/>
      <c r="W11" s="124"/>
      <c r="X11" s="124"/>
      <c r="Y11" s="125">
        <v>30</v>
      </c>
      <c r="Z11" s="125"/>
      <c r="AA11" s="125"/>
      <c r="AB11" s="125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</row>
    <row r="12" spans="1:47" x14ac:dyDescent="0.15">
      <c r="A12" s="50">
        <f t="shared" si="0"/>
        <v>7</v>
      </c>
      <c r="B12" s="123" t="s">
        <v>155</v>
      </c>
      <c r="C12" s="123"/>
      <c r="D12" s="123"/>
      <c r="E12" s="123"/>
      <c r="F12" s="123"/>
      <c r="G12" s="123"/>
      <c r="H12" s="123"/>
      <c r="I12" s="123"/>
      <c r="J12" s="123"/>
      <c r="K12" s="43" t="s">
        <v>158</v>
      </c>
      <c r="L12" s="43"/>
      <c r="M12" s="43"/>
      <c r="N12" s="43"/>
      <c r="O12" s="43"/>
      <c r="P12" s="43"/>
      <c r="Q12" s="43"/>
      <c r="R12" s="43"/>
      <c r="S12" s="43"/>
      <c r="T12" s="43"/>
      <c r="U12" s="124" t="s">
        <v>119</v>
      </c>
      <c r="V12" s="124"/>
      <c r="W12" s="124"/>
      <c r="X12" s="124"/>
      <c r="Y12" s="125">
        <v>3</v>
      </c>
      <c r="Z12" s="125"/>
      <c r="AA12" s="125"/>
      <c r="AB12" s="125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</row>
    <row r="13" spans="1:47" x14ac:dyDescent="0.15">
      <c r="A13" s="50">
        <f t="shared" si="0"/>
        <v>8</v>
      </c>
      <c r="B13" s="123" t="s">
        <v>156</v>
      </c>
      <c r="C13" s="123"/>
      <c r="D13" s="123"/>
      <c r="E13" s="123"/>
      <c r="F13" s="123"/>
      <c r="G13" s="123"/>
      <c r="H13" s="123"/>
      <c r="I13" s="123"/>
      <c r="J13" s="123"/>
      <c r="K13" s="43" t="s">
        <v>159</v>
      </c>
      <c r="L13" s="43"/>
      <c r="M13" s="43"/>
      <c r="N13" s="43"/>
      <c r="O13" s="43"/>
      <c r="P13" s="43"/>
      <c r="Q13" s="43"/>
      <c r="R13" s="43"/>
      <c r="S13" s="43"/>
      <c r="T13" s="43"/>
      <c r="U13" s="124" t="s">
        <v>119</v>
      </c>
      <c r="V13" s="124"/>
      <c r="W13" s="124"/>
      <c r="X13" s="124"/>
      <c r="Y13" s="125">
        <v>3</v>
      </c>
      <c r="Z13" s="125"/>
      <c r="AA13" s="125"/>
      <c r="AB13" s="125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</row>
    <row r="14" spans="1:47" x14ac:dyDescent="0.15">
      <c r="A14" s="50">
        <f t="shared" si="0"/>
        <v>9</v>
      </c>
      <c r="B14" s="123" t="s">
        <v>118</v>
      </c>
      <c r="C14" s="123"/>
      <c r="D14" s="123"/>
      <c r="E14" s="123"/>
      <c r="F14" s="123"/>
      <c r="G14" s="123"/>
      <c r="H14" s="123"/>
      <c r="I14" s="123"/>
      <c r="J14" s="123"/>
      <c r="K14" s="42" t="s">
        <v>84</v>
      </c>
      <c r="L14" s="43"/>
      <c r="M14" s="43"/>
      <c r="N14" s="43"/>
      <c r="O14" s="43"/>
      <c r="P14" s="43"/>
      <c r="Q14" s="43"/>
      <c r="R14" s="43"/>
      <c r="S14" s="43"/>
      <c r="T14" s="43"/>
      <c r="U14" s="124" t="s">
        <v>174</v>
      </c>
      <c r="V14" s="124"/>
      <c r="W14" s="124"/>
      <c r="X14" s="124"/>
      <c r="Y14" s="125" t="s">
        <v>85</v>
      </c>
      <c r="Z14" s="125"/>
      <c r="AA14" s="125"/>
      <c r="AB14" s="125"/>
      <c r="AC14" s="123" t="s">
        <v>120</v>
      </c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</row>
    <row r="15" spans="1:47" x14ac:dyDescent="0.15">
      <c r="A15" s="50">
        <f t="shared" si="0"/>
        <v>10</v>
      </c>
      <c r="B15" s="123" t="s">
        <v>121</v>
      </c>
      <c r="C15" s="123"/>
      <c r="D15" s="123"/>
      <c r="E15" s="123"/>
      <c r="F15" s="123"/>
      <c r="G15" s="123"/>
      <c r="H15" s="123"/>
      <c r="I15" s="123"/>
      <c r="J15" s="123"/>
      <c r="K15" s="42" t="s">
        <v>86</v>
      </c>
      <c r="L15" s="43"/>
      <c r="M15" s="43"/>
      <c r="N15" s="43"/>
      <c r="O15" s="43"/>
      <c r="P15" s="43"/>
      <c r="Q15" s="43"/>
      <c r="R15" s="43"/>
      <c r="S15" s="43"/>
      <c r="T15" s="43"/>
      <c r="U15" s="124" t="s">
        <v>174</v>
      </c>
      <c r="V15" s="124"/>
      <c r="W15" s="124"/>
      <c r="X15" s="124"/>
      <c r="Y15" s="125" t="s">
        <v>89</v>
      </c>
      <c r="Z15" s="125"/>
      <c r="AA15" s="125"/>
      <c r="AB15" s="125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</row>
    <row r="16" spans="1:47" x14ac:dyDescent="0.15">
      <c r="A16" s="50">
        <f t="shared" si="0"/>
        <v>11</v>
      </c>
      <c r="B16" s="123" t="s">
        <v>122</v>
      </c>
      <c r="C16" s="123"/>
      <c r="D16" s="123"/>
      <c r="E16" s="123"/>
      <c r="F16" s="123"/>
      <c r="G16" s="123"/>
      <c r="H16" s="123"/>
      <c r="I16" s="123"/>
      <c r="J16" s="123"/>
      <c r="K16" s="42" t="s">
        <v>87</v>
      </c>
      <c r="L16" s="43"/>
      <c r="M16" s="43"/>
      <c r="N16" s="43"/>
      <c r="O16" s="43"/>
      <c r="P16" s="43"/>
      <c r="Q16" s="43"/>
      <c r="R16" s="43"/>
      <c r="S16" s="43"/>
      <c r="T16" s="43"/>
      <c r="U16" s="124" t="s">
        <v>174</v>
      </c>
      <c r="V16" s="124"/>
      <c r="W16" s="124"/>
      <c r="X16" s="124"/>
      <c r="Y16" s="125" t="s">
        <v>90</v>
      </c>
      <c r="Z16" s="125"/>
      <c r="AA16" s="125"/>
      <c r="AB16" s="125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</row>
    <row r="17" spans="1:47" x14ac:dyDescent="0.15">
      <c r="A17" s="50">
        <f t="shared" si="0"/>
        <v>12</v>
      </c>
      <c r="B17" s="123" t="s">
        <v>123</v>
      </c>
      <c r="C17" s="123"/>
      <c r="D17" s="123"/>
      <c r="E17" s="123"/>
      <c r="F17" s="123"/>
      <c r="G17" s="123"/>
      <c r="H17" s="123"/>
      <c r="I17" s="123"/>
      <c r="J17" s="123"/>
      <c r="K17" s="42" t="s">
        <v>88</v>
      </c>
      <c r="L17" s="43"/>
      <c r="M17" s="43"/>
      <c r="N17" s="65"/>
      <c r="O17" s="43"/>
      <c r="P17" s="43"/>
      <c r="Q17" s="43"/>
      <c r="R17" s="43"/>
      <c r="S17" s="43"/>
      <c r="T17" s="43"/>
      <c r="U17" s="124" t="s">
        <v>174</v>
      </c>
      <c r="V17" s="124"/>
      <c r="W17" s="124"/>
      <c r="X17" s="124"/>
      <c r="Y17" s="125" t="s">
        <v>91</v>
      </c>
      <c r="Z17" s="125"/>
      <c r="AA17" s="125"/>
      <c r="AB17" s="125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</row>
    <row r="18" spans="1:47" x14ac:dyDescent="0.15">
      <c r="A18" s="50">
        <f t="shared" si="0"/>
        <v>13</v>
      </c>
      <c r="B18" s="123" t="s">
        <v>124</v>
      </c>
      <c r="C18" s="123"/>
      <c r="D18" s="123"/>
      <c r="E18" s="123"/>
      <c r="F18" s="123"/>
      <c r="G18" s="123"/>
      <c r="H18" s="123"/>
      <c r="I18" s="123"/>
      <c r="J18" s="123"/>
      <c r="K18" s="42" t="s">
        <v>160</v>
      </c>
      <c r="L18" s="43"/>
      <c r="M18" s="43"/>
      <c r="N18" s="43"/>
      <c r="O18" s="43"/>
      <c r="P18" s="43"/>
      <c r="Q18" s="43"/>
      <c r="R18" s="43"/>
      <c r="S18" s="43"/>
      <c r="T18" s="43"/>
      <c r="U18" s="124" t="s">
        <v>174</v>
      </c>
      <c r="V18" s="124"/>
      <c r="W18" s="124"/>
      <c r="X18" s="124"/>
      <c r="Y18" s="125" t="s">
        <v>92</v>
      </c>
      <c r="Z18" s="125"/>
      <c r="AA18" s="125"/>
      <c r="AB18" s="125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</row>
    <row r="19" spans="1:47" x14ac:dyDescent="0.15">
      <c r="A19" s="50">
        <f t="shared" si="0"/>
        <v>14</v>
      </c>
      <c r="B19" s="123" t="s">
        <v>127</v>
      </c>
      <c r="C19" s="123"/>
      <c r="D19" s="123"/>
      <c r="E19" s="123"/>
      <c r="F19" s="123"/>
      <c r="G19" s="123"/>
      <c r="H19" s="123"/>
      <c r="I19" s="123"/>
      <c r="J19" s="123"/>
      <c r="K19" s="43" t="s">
        <v>173</v>
      </c>
      <c r="L19" s="43"/>
      <c r="M19" s="43"/>
      <c r="N19" s="43"/>
      <c r="O19" s="43"/>
      <c r="P19" s="43"/>
      <c r="Q19" s="43"/>
      <c r="R19" s="43"/>
      <c r="S19" s="43"/>
      <c r="T19" s="43"/>
      <c r="U19" s="124" t="s">
        <v>174</v>
      </c>
      <c r="V19" s="124"/>
      <c r="W19" s="124"/>
      <c r="X19" s="124"/>
      <c r="Y19" s="125" t="s">
        <v>161</v>
      </c>
      <c r="Z19" s="125"/>
      <c r="AA19" s="125"/>
      <c r="AB19" s="125"/>
      <c r="AC19" s="123" t="s">
        <v>120</v>
      </c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</row>
    <row r="20" spans="1:47" x14ac:dyDescent="0.15">
      <c r="A20" s="50">
        <f t="shared" si="0"/>
        <v>15</v>
      </c>
      <c r="B20" s="123" t="s">
        <v>128</v>
      </c>
      <c r="C20" s="123"/>
      <c r="D20" s="123"/>
      <c r="E20" s="123"/>
      <c r="F20" s="123"/>
      <c r="G20" s="123"/>
      <c r="H20" s="123"/>
      <c r="I20" s="123"/>
      <c r="J20" s="123"/>
      <c r="K20" s="43" t="s">
        <v>130</v>
      </c>
      <c r="L20" s="43"/>
      <c r="M20" s="43"/>
      <c r="N20" s="43"/>
      <c r="O20" s="43"/>
      <c r="P20" s="43"/>
      <c r="Q20" s="43"/>
      <c r="R20" s="43"/>
      <c r="S20" s="43"/>
      <c r="T20" s="43"/>
      <c r="U20" s="124" t="s">
        <v>174</v>
      </c>
      <c r="V20" s="124"/>
      <c r="W20" s="124"/>
      <c r="X20" s="124"/>
      <c r="Y20" s="127">
        <v>1</v>
      </c>
      <c r="Z20" s="128"/>
      <c r="AA20" s="128"/>
      <c r="AB20" s="129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</row>
    <row r="21" spans="1:47" x14ac:dyDescent="0.15">
      <c r="A21" s="50">
        <f t="shared" si="0"/>
        <v>16</v>
      </c>
      <c r="B21" s="123" t="s">
        <v>129</v>
      </c>
      <c r="C21" s="123"/>
      <c r="D21" s="123"/>
      <c r="E21" s="123"/>
      <c r="F21" s="123"/>
      <c r="G21" s="123"/>
      <c r="H21" s="123"/>
      <c r="I21" s="123"/>
      <c r="J21" s="123"/>
      <c r="K21" s="43" t="s">
        <v>131</v>
      </c>
      <c r="L21" s="43"/>
      <c r="M21" s="43"/>
      <c r="N21" s="43"/>
      <c r="O21" s="43"/>
      <c r="P21" s="43"/>
      <c r="Q21" s="43"/>
      <c r="R21" s="43"/>
      <c r="S21" s="43"/>
      <c r="T21" s="43"/>
      <c r="U21" s="124" t="s">
        <v>174</v>
      </c>
      <c r="V21" s="124"/>
      <c r="W21" s="124"/>
      <c r="X21" s="124"/>
      <c r="Y21" s="127">
        <v>0</v>
      </c>
      <c r="Z21" s="128"/>
      <c r="AA21" s="128"/>
      <c r="AB21" s="129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</row>
    <row r="22" spans="1:47" x14ac:dyDescent="0.15">
      <c r="A22" s="50">
        <f t="shared" si="0"/>
        <v>17</v>
      </c>
      <c r="B22" s="130" t="s">
        <v>133</v>
      </c>
      <c r="C22" s="131"/>
      <c r="D22" s="131"/>
      <c r="E22" s="131"/>
      <c r="F22" s="131"/>
      <c r="G22" s="131"/>
      <c r="H22" s="131"/>
      <c r="I22" s="131"/>
      <c r="J22" s="132"/>
      <c r="K22" s="43" t="s">
        <v>134</v>
      </c>
      <c r="L22" s="43"/>
      <c r="M22" s="43"/>
      <c r="N22" s="43"/>
      <c r="O22" s="43"/>
      <c r="P22" s="43"/>
      <c r="Q22" s="43"/>
      <c r="R22" s="43"/>
      <c r="S22" s="43"/>
      <c r="T22" s="43"/>
      <c r="U22" s="124" t="s">
        <v>174</v>
      </c>
      <c r="V22" s="124"/>
      <c r="W22" s="124"/>
      <c r="X22" s="124"/>
      <c r="Y22" s="124" t="s">
        <v>135</v>
      </c>
      <c r="Z22" s="133"/>
      <c r="AA22" s="133"/>
      <c r="AB22" s="134"/>
      <c r="AC22" s="130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2"/>
    </row>
    <row r="23" spans="1:47" x14ac:dyDescent="0.15">
      <c r="A23" s="50">
        <f t="shared" si="0"/>
        <v>18</v>
      </c>
      <c r="B23" s="130" t="s">
        <v>136</v>
      </c>
      <c r="C23" s="131"/>
      <c r="D23" s="131"/>
      <c r="E23" s="131"/>
      <c r="F23" s="131"/>
      <c r="G23" s="131"/>
      <c r="H23" s="131"/>
      <c r="I23" s="131"/>
      <c r="J23" s="132"/>
      <c r="K23" s="43" t="s">
        <v>137</v>
      </c>
      <c r="L23" s="43"/>
      <c r="M23" s="43"/>
      <c r="N23" s="43"/>
      <c r="O23" s="43"/>
      <c r="P23" s="43"/>
      <c r="Q23" s="43"/>
      <c r="R23" s="43"/>
      <c r="S23" s="43"/>
      <c r="T23" s="43"/>
      <c r="U23" s="124" t="s">
        <v>174</v>
      </c>
      <c r="V23" s="124"/>
      <c r="W23" s="124"/>
      <c r="X23" s="124"/>
      <c r="Y23" s="124" t="s">
        <v>138</v>
      </c>
      <c r="Z23" s="133"/>
      <c r="AA23" s="133"/>
      <c r="AB23" s="134"/>
      <c r="AC23" s="130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2"/>
    </row>
  </sheetData>
  <mergeCells count="77">
    <mergeCell ref="B18:J18"/>
    <mergeCell ref="U18:X18"/>
    <mergeCell ref="Y18:AB18"/>
    <mergeCell ref="AC16:AU16"/>
    <mergeCell ref="B17:J17"/>
    <mergeCell ref="U17:X17"/>
    <mergeCell ref="Y17:AB17"/>
    <mergeCell ref="AC17:AU17"/>
    <mergeCell ref="Y9:AB9"/>
    <mergeCell ref="AC9:AU9"/>
    <mergeCell ref="AC10:AU10"/>
    <mergeCell ref="AC11:AU11"/>
    <mergeCell ref="Y13:AB13"/>
    <mergeCell ref="Y11:AB11"/>
    <mergeCell ref="Y10:AB10"/>
    <mergeCell ref="U11:X11"/>
    <mergeCell ref="B12:J12"/>
    <mergeCell ref="U12:X12"/>
    <mergeCell ref="Y12:AB12"/>
    <mergeCell ref="B10:J10"/>
    <mergeCell ref="U10:X10"/>
    <mergeCell ref="B11:J11"/>
    <mergeCell ref="AC18:AU18"/>
    <mergeCell ref="AC12:AU12"/>
    <mergeCell ref="AC13:AU13"/>
    <mergeCell ref="B14:J14"/>
    <mergeCell ref="U14:X14"/>
    <mergeCell ref="Y14:AB14"/>
    <mergeCell ref="B13:J13"/>
    <mergeCell ref="U13:X13"/>
    <mergeCell ref="AC14:AU14"/>
    <mergeCell ref="B15:J15"/>
    <mergeCell ref="U15:X15"/>
    <mergeCell ref="Y15:AB15"/>
    <mergeCell ref="AC15:AU15"/>
    <mergeCell ref="B16:J16"/>
    <mergeCell ref="U16:X16"/>
    <mergeCell ref="Y16:AB16"/>
    <mergeCell ref="A1:J2"/>
    <mergeCell ref="AR1:AU1"/>
    <mergeCell ref="B5:J5"/>
    <mergeCell ref="K5:T5"/>
    <mergeCell ref="U5:X5"/>
    <mergeCell ref="Y5:AB5"/>
    <mergeCell ref="AC5:AU5"/>
    <mergeCell ref="B8:J8"/>
    <mergeCell ref="U8:X8"/>
    <mergeCell ref="Y8:AB8"/>
    <mergeCell ref="AC8:AU8"/>
    <mergeCell ref="B6:J6"/>
    <mergeCell ref="U6:X6"/>
    <mergeCell ref="Y6:AB6"/>
    <mergeCell ref="AC6:AU6"/>
    <mergeCell ref="B7:J7"/>
    <mergeCell ref="U7:X7"/>
    <mergeCell ref="Y7:AB7"/>
    <mergeCell ref="AC7:AU7"/>
    <mergeCell ref="AC22:AU22"/>
    <mergeCell ref="B23:J23"/>
    <mergeCell ref="U23:X23"/>
    <mergeCell ref="Y23:AB23"/>
    <mergeCell ref="AC23:AU23"/>
    <mergeCell ref="B22:J22"/>
    <mergeCell ref="U22:X22"/>
    <mergeCell ref="Y22:AB22"/>
    <mergeCell ref="B19:J19"/>
    <mergeCell ref="U19:X19"/>
    <mergeCell ref="Y19:AB19"/>
    <mergeCell ref="AC20:AU20"/>
    <mergeCell ref="B21:J21"/>
    <mergeCell ref="U21:X21"/>
    <mergeCell ref="AC21:AU21"/>
    <mergeCell ref="Y21:AB21"/>
    <mergeCell ref="Y20:AB20"/>
    <mergeCell ref="B20:J20"/>
    <mergeCell ref="U20:X20"/>
    <mergeCell ref="AC19:AU19"/>
  </mergeCells>
  <phoneticPr fontId="7"/>
  <pageMargins left="0.196527777777778" right="0.196527777777778" top="0.39374999999999999" bottom="0.39374999999999999" header="0.51180555555555496" footer="0.31527777777777799"/>
  <pageSetup paperSize="9" scale="73" firstPageNumber="0" orientation="landscape" horizontalDpi="300" verticalDpi="300" r:id="rId1"/>
  <headerFooter>
    <oddFooter>&amp;C&amp;9&amp;P/&amp;N&amp;R&amp;9Copyright © 2022 NeTS Co. Ltd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4E0B-5D91-4D4A-91C6-6EC194563739}">
  <sheetPr codeName="Sheet10">
    <pageSetUpPr fitToPage="1"/>
  </sheetPr>
  <dimension ref="A1:AMR14"/>
  <sheetViews>
    <sheetView showGridLines="0" view="pageBreakPreview" topLeftCell="A4" zoomScaleNormal="100" zoomScaleSheetLayoutView="100" zoomScalePageLayoutView="85" workbookViewId="0">
      <selection activeCell="R25" sqref="R25"/>
    </sheetView>
  </sheetViews>
  <sheetFormatPr defaultColWidth="8.75" defaultRowHeight="16.5" x14ac:dyDescent="0.15"/>
  <cols>
    <col min="1" max="27" width="3.75" style="45" customWidth="1"/>
    <col min="28" max="28" width="7.625" style="45" customWidth="1"/>
    <col min="29" max="1032" width="3.75" style="45" customWidth="1"/>
    <col min="1033" max="16384" width="8.75" style="52"/>
  </cols>
  <sheetData>
    <row r="1" spans="1:47" x14ac:dyDescent="0.15">
      <c r="A1" s="136" t="s">
        <v>7</v>
      </c>
      <c r="B1" s="136"/>
      <c r="C1" s="136"/>
      <c r="D1" s="136"/>
      <c r="E1" s="136"/>
      <c r="F1" s="136"/>
      <c r="G1" s="136"/>
      <c r="H1" s="136"/>
      <c r="I1" s="136"/>
      <c r="J1" s="136"/>
      <c r="K1" s="39" t="s">
        <v>8</v>
      </c>
      <c r="L1" s="40"/>
      <c r="M1" s="40"/>
      <c r="N1" s="41"/>
      <c r="O1" s="13" t="s">
        <v>63</v>
      </c>
      <c r="P1" s="28"/>
      <c r="Q1" s="28"/>
      <c r="R1" s="28"/>
      <c r="S1" s="28"/>
      <c r="T1" s="43"/>
      <c r="U1" s="43"/>
      <c r="V1" s="43"/>
      <c r="W1" s="43"/>
      <c r="X1" s="43"/>
      <c r="Y1" s="43"/>
      <c r="Z1" s="43"/>
      <c r="AA1" s="43"/>
      <c r="AB1" s="39" t="s">
        <v>9</v>
      </c>
      <c r="AC1" s="40"/>
      <c r="AD1" s="40"/>
      <c r="AE1" s="41"/>
      <c r="AF1" s="10" t="s">
        <v>125</v>
      </c>
      <c r="AG1" s="43"/>
      <c r="AH1" s="43"/>
      <c r="AI1" s="43"/>
      <c r="AJ1" s="43"/>
      <c r="AK1" s="43"/>
      <c r="AL1" s="43"/>
      <c r="AM1" s="43"/>
      <c r="AN1" s="44"/>
      <c r="AO1" s="39" t="s">
        <v>1</v>
      </c>
      <c r="AP1" s="40"/>
      <c r="AQ1" s="41"/>
      <c r="AR1" s="108">
        <v>46136</v>
      </c>
      <c r="AS1" s="109"/>
      <c r="AT1" s="109"/>
      <c r="AU1" s="110"/>
    </row>
    <row r="2" spans="1:47" x14ac:dyDescent="0.1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39" t="s">
        <v>10</v>
      </c>
      <c r="L2" s="40"/>
      <c r="M2" s="40"/>
      <c r="N2" s="41"/>
      <c r="O2" s="13" t="s">
        <v>43</v>
      </c>
      <c r="P2" s="28"/>
      <c r="Q2" s="28"/>
      <c r="R2" s="28"/>
      <c r="S2" s="28"/>
      <c r="T2" s="43"/>
      <c r="U2" s="43"/>
      <c r="V2" s="43"/>
      <c r="W2" s="43"/>
      <c r="X2" s="43"/>
      <c r="Y2" s="43"/>
      <c r="Z2" s="43"/>
      <c r="AA2" s="43"/>
      <c r="AB2" s="39" t="s">
        <v>11</v>
      </c>
      <c r="AC2" s="40"/>
      <c r="AD2" s="40"/>
      <c r="AE2" s="41"/>
      <c r="AF2" s="10" t="s">
        <v>96</v>
      </c>
      <c r="AG2" s="43"/>
      <c r="AH2" s="43"/>
      <c r="AI2" s="43"/>
      <c r="AJ2" s="43"/>
      <c r="AK2" s="43"/>
      <c r="AL2" s="43"/>
      <c r="AM2" s="43"/>
      <c r="AN2" s="44"/>
      <c r="AO2" s="39" t="s">
        <v>2</v>
      </c>
      <c r="AP2" s="40"/>
      <c r="AQ2" s="41"/>
      <c r="AR2" s="10" t="s">
        <v>42</v>
      </c>
      <c r="AS2" s="43"/>
      <c r="AT2" s="43"/>
      <c r="AU2" s="44"/>
    </row>
    <row r="3" spans="1:47" ht="3" customHeight="1" x14ac:dyDescent="0.15"/>
    <row r="4" spans="1:47" x14ac:dyDescent="0.15">
      <c r="A4" s="46" t="s">
        <v>20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8"/>
    </row>
    <row r="5" spans="1:47" x14ac:dyDescent="0.15">
      <c r="A5" s="49" t="s">
        <v>21</v>
      </c>
      <c r="B5" s="137" t="s">
        <v>22</v>
      </c>
      <c r="C5" s="137"/>
      <c r="D5" s="137"/>
      <c r="E5" s="137"/>
      <c r="F5" s="137"/>
      <c r="G5" s="137"/>
      <c r="H5" s="137"/>
      <c r="I5" s="137"/>
      <c r="J5" s="137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 t="s">
        <v>23</v>
      </c>
      <c r="V5" s="138"/>
      <c r="W5" s="138"/>
      <c r="X5" s="138"/>
      <c r="Y5" s="139" t="s">
        <v>24</v>
      </c>
      <c r="Z5" s="139"/>
      <c r="AA5" s="139"/>
      <c r="AB5" s="139"/>
      <c r="AC5" s="137" t="s">
        <v>19</v>
      </c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</row>
    <row r="6" spans="1:47" s="45" customFormat="1" x14ac:dyDescent="0.4">
      <c r="A6" s="50">
        <f t="shared" ref="A6:A14" si="0">ROW()-5</f>
        <v>1</v>
      </c>
      <c r="B6" s="144" t="s">
        <v>202</v>
      </c>
      <c r="C6" s="145"/>
      <c r="D6" s="145"/>
      <c r="E6" s="145"/>
      <c r="F6" s="145"/>
      <c r="G6" s="145"/>
      <c r="H6" s="145"/>
      <c r="I6" s="145"/>
      <c r="J6" s="146"/>
      <c r="K6" s="73" t="s">
        <v>184</v>
      </c>
      <c r="L6" s="73"/>
      <c r="M6" s="73"/>
      <c r="N6" s="73"/>
      <c r="O6" s="73"/>
      <c r="P6" s="73"/>
      <c r="Q6" s="73"/>
      <c r="R6" s="73"/>
      <c r="S6" s="73"/>
      <c r="T6" s="73"/>
      <c r="U6" s="141" t="s">
        <v>174</v>
      </c>
      <c r="V6" s="141"/>
      <c r="W6" s="141"/>
      <c r="X6" s="141"/>
      <c r="Y6" s="141" t="s">
        <v>185</v>
      </c>
      <c r="Z6" s="142"/>
      <c r="AA6" s="142"/>
      <c r="AB6" s="143"/>
      <c r="AC6" s="130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2"/>
    </row>
    <row r="7" spans="1:47" s="45" customFormat="1" x14ac:dyDescent="0.4">
      <c r="A7" s="50">
        <f t="shared" si="0"/>
        <v>2</v>
      </c>
      <c r="B7" s="144" t="s">
        <v>203</v>
      </c>
      <c r="C7" s="145"/>
      <c r="D7" s="145"/>
      <c r="E7" s="145"/>
      <c r="F7" s="145"/>
      <c r="G7" s="145"/>
      <c r="H7" s="145"/>
      <c r="I7" s="145"/>
      <c r="J7" s="146"/>
      <c r="K7" s="74" t="s">
        <v>186</v>
      </c>
      <c r="L7" s="73"/>
      <c r="M7" s="73"/>
      <c r="N7" s="73"/>
      <c r="O7" s="73"/>
      <c r="P7" s="73"/>
      <c r="Q7" s="73"/>
      <c r="R7" s="73"/>
      <c r="S7" s="73"/>
      <c r="T7" s="73"/>
      <c r="U7" s="141" t="s">
        <v>174</v>
      </c>
      <c r="V7" s="141"/>
      <c r="W7" s="141"/>
      <c r="X7" s="141"/>
      <c r="Y7" s="141" t="s">
        <v>187</v>
      </c>
      <c r="Z7" s="142"/>
      <c r="AA7" s="142"/>
      <c r="AB7" s="143"/>
      <c r="AC7" s="130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2"/>
    </row>
    <row r="8" spans="1:47" s="45" customFormat="1" x14ac:dyDescent="0.4">
      <c r="A8" s="50">
        <f t="shared" si="0"/>
        <v>3</v>
      </c>
      <c r="B8" s="144" t="s">
        <v>204</v>
      </c>
      <c r="C8" s="145"/>
      <c r="D8" s="145"/>
      <c r="E8" s="145"/>
      <c r="F8" s="145"/>
      <c r="G8" s="145"/>
      <c r="H8" s="145"/>
      <c r="I8" s="145"/>
      <c r="J8" s="146"/>
      <c r="K8" s="73" t="s">
        <v>188</v>
      </c>
      <c r="L8" s="73"/>
      <c r="M8" s="73"/>
      <c r="N8" s="73"/>
      <c r="O8" s="73"/>
      <c r="P8" s="73"/>
      <c r="Q8" s="73"/>
      <c r="R8" s="73"/>
      <c r="S8" s="73"/>
      <c r="T8" s="73"/>
      <c r="U8" s="141" t="s">
        <v>174</v>
      </c>
      <c r="V8" s="141"/>
      <c r="W8" s="141"/>
      <c r="X8" s="141"/>
      <c r="Y8" s="141" t="s">
        <v>189</v>
      </c>
      <c r="Z8" s="142"/>
      <c r="AA8" s="142"/>
      <c r="AB8" s="143"/>
      <c r="AC8" s="130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2"/>
    </row>
    <row r="9" spans="1:47" s="45" customFormat="1" x14ac:dyDescent="0.4">
      <c r="A9" s="50">
        <f t="shared" si="0"/>
        <v>4</v>
      </c>
      <c r="B9" s="144" t="s">
        <v>205</v>
      </c>
      <c r="C9" s="145"/>
      <c r="D9" s="145"/>
      <c r="E9" s="145"/>
      <c r="F9" s="145"/>
      <c r="G9" s="145"/>
      <c r="H9" s="145"/>
      <c r="I9" s="145"/>
      <c r="J9" s="146"/>
      <c r="K9" s="73" t="s">
        <v>190</v>
      </c>
      <c r="L9" s="73"/>
      <c r="M9" s="73"/>
      <c r="N9" s="73"/>
      <c r="O9" s="73"/>
      <c r="P9" s="73"/>
      <c r="Q9" s="73"/>
      <c r="R9" s="73"/>
      <c r="S9" s="73"/>
      <c r="T9" s="73"/>
      <c r="U9" s="141" t="s">
        <v>174</v>
      </c>
      <c r="V9" s="141"/>
      <c r="W9" s="141"/>
      <c r="X9" s="141"/>
      <c r="Y9" s="141" t="s">
        <v>191</v>
      </c>
      <c r="Z9" s="142"/>
      <c r="AA9" s="142"/>
      <c r="AB9" s="143"/>
      <c r="AC9" s="130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2"/>
    </row>
    <row r="10" spans="1:47" s="45" customFormat="1" x14ac:dyDescent="0.4">
      <c r="A10" s="50">
        <f t="shared" si="0"/>
        <v>5</v>
      </c>
      <c r="B10" s="144" t="s">
        <v>206</v>
      </c>
      <c r="C10" s="145"/>
      <c r="D10" s="145"/>
      <c r="E10" s="145"/>
      <c r="F10" s="145"/>
      <c r="G10" s="145"/>
      <c r="H10" s="145"/>
      <c r="I10" s="145"/>
      <c r="J10" s="146"/>
      <c r="K10" s="73" t="s">
        <v>192</v>
      </c>
      <c r="L10" s="73"/>
      <c r="M10" s="73"/>
      <c r="N10" s="73"/>
      <c r="O10" s="73"/>
      <c r="P10" s="73"/>
      <c r="Q10" s="73"/>
      <c r="R10" s="73"/>
      <c r="S10" s="73"/>
      <c r="T10" s="73"/>
      <c r="U10" s="141" t="s">
        <v>174</v>
      </c>
      <c r="V10" s="141"/>
      <c r="W10" s="141"/>
      <c r="X10" s="141"/>
      <c r="Y10" s="141" t="s">
        <v>193</v>
      </c>
      <c r="Z10" s="142"/>
      <c r="AA10" s="142"/>
      <c r="AB10" s="143"/>
      <c r="AC10" s="130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2"/>
    </row>
    <row r="11" spans="1:47" s="45" customFormat="1" x14ac:dyDescent="0.4">
      <c r="A11" s="50">
        <f t="shared" si="0"/>
        <v>6</v>
      </c>
      <c r="B11" s="144" t="s">
        <v>207</v>
      </c>
      <c r="C11" s="145"/>
      <c r="D11" s="145"/>
      <c r="E11" s="145"/>
      <c r="F11" s="145"/>
      <c r="G11" s="145"/>
      <c r="H11" s="145"/>
      <c r="I11" s="145"/>
      <c r="J11" s="146"/>
      <c r="K11" s="73" t="s">
        <v>194</v>
      </c>
      <c r="L11" s="73"/>
      <c r="M11" s="73"/>
      <c r="N11" s="73"/>
      <c r="O11" s="73"/>
      <c r="P11" s="73"/>
      <c r="Q11" s="73"/>
      <c r="R11" s="73"/>
      <c r="S11" s="73"/>
      <c r="T11" s="73"/>
      <c r="U11" s="141" t="s">
        <v>174</v>
      </c>
      <c r="V11" s="141"/>
      <c r="W11" s="141"/>
      <c r="X11" s="141"/>
      <c r="Y11" s="141" t="s">
        <v>195</v>
      </c>
      <c r="Z11" s="142"/>
      <c r="AA11" s="142"/>
      <c r="AB11" s="143"/>
      <c r="AC11" s="130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2"/>
    </row>
    <row r="12" spans="1:47" s="45" customFormat="1" x14ac:dyDescent="0.4">
      <c r="A12" s="50">
        <f t="shared" si="0"/>
        <v>7</v>
      </c>
      <c r="B12" s="144" t="s">
        <v>208</v>
      </c>
      <c r="C12" s="145"/>
      <c r="D12" s="145"/>
      <c r="E12" s="145"/>
      <c r="F12" s="145"/>
      <c r="G12" s="145"/>
      <c r="H12" s="145"/>
      <c r="I12" s="145"/>
      <c r="J12" s="146"/>
      <c r="K12" s="73" t="s">
        <v>196</v>
      </c>
      <c r="L12" s="73"/>
      <c r="M12" s="73"/>
      <c r="N12" s="73"/>
      <c r="O12" s="73"/>
      <c r="P12" s="73"/>
      <c r="Q12" s="73"/>
      <c r="R12" s="73"/>
      <c r="S12" s="73"/>
      <c r="T12" s="73"/>
      <c r="U12" s="141" t="s">
        <v>174</v>
      </c>
      <c r="V12" s="141"/>
      <c r="W12" s="141"/>
      <c r="X12" s="141"/>
      <c r="Y12" s="141" t="s">
        <v>197</v>
      </c>
      <c r="Z12" s="142"/>
      <c r="AA12" s="142"/>
      <c r="AB12" s="143"/>
      <c r="AC12" s="130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2"/>
    </row>
    <row r="13" spans="1:47" s="45" customFormat="1" ht="17.25" x14ac:dyDescent="0.4">
      <c r="A13" s="70">
        <f t="shared" si="0"/>
        <v>8</v>
      </c>
      <c r="B13" s="75" t="s">
        <v>209</v>
      </c>
      <c r="C13" s="76"/>
      <c r="D13" s="76"/>
      <c r="E13" s="76"/>
      <c r="F13" s="76"/>
      <c r="G13" s="76"/>
      <c r="H13" s="76"/>
      <c r="I13" s="76"/>
      <c r="J13" s="76"/>
      <c r="K13" s="74" t="s">
        <v>198</v>
      </c>
      <c r="L13" s="73"/>
      <c r="M13" s="73"/>
      <c r="N13" s="73"/>
      <c r="O13" s="73"/>
      <c r="P13" s="73"/>
      <c r="Q13" s="73"/>
      <c r="R13" s="73"/>
      <c r="S13" s="73"/>
      <c r="T13" s="73"/>
      <c r="U13" s="141" t="s">
        <v>174</v>
      </c>
      <c r="V13" s="141"/>
      <c r="W13" s="141"/>
      <c r="X13" s="141"/>
      <c r="Y13" s="141" t="s">
        <v>163</v>
      </c>
      <c r="Z13" s="142"/>
      <c r="AA13" s="142"/>
      <c r="AB13" s="143"/>
      <c r="AC13" s="130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2"/>
    </row>
    <row r="14" spans="1:47" s="45" customFormat="1" x14ac:dyDescent="0.4">
      <c r="A14" s="50">
        <f t="shared" si="0"/>
        <v>9</v>
      </c>
      <c r="B14" s="144" t="s">
        <v>201</v>
      </c>
      <c r="C14" s="145"/>
      <c r="D14" s="145"/>
      <c r="E14" s="145"/>
      <c r="F14" s="145"/>
      <c r="G14" s="145"/>
      <c r="H14" s="145"/>
      <c r="I14" s="145"/>
      <c r="J14" s="146"/>
      <c r="K14" s="73" t="s">
        <v>199</v>
      </c>
      <c r="L14" s="73"/>
      <c r="M14" s="73"/>
      <c r="N14" s="73"/>
      <c r="O14" s="73"/>
      <c r="P14" s="73"/>
      <c r="Q14" s="73"/>
      <c r="R14" s="73"/>
      <c r="S14" s="73"/>
      <c r="T14" s="73"/>
      <c r="U14" s="141" t="s">
        <v>174</v>
      </c>
      <c r="V14" s="141"/>
      <c r="W14" s="141"/>
      <c r="X14" s="141"/>
      <c r="Y14" s="141" t="s">
        <v>200</v>
      </c>
      <c r="Z14" s="142"/>
      <c r="AA14" s="142"/>
      <c r="AB14" s="143"/>
      <c r="AC14" s="130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2"/>
    </row>
  </sheetData>
  <mergeCells count="42">
    <mergeCell ref="A1:J2"/>
    <mergeCell ref="AR1:AU1"/>
    <mergeCell ref="B5:J5"/>
    <mergeCell ref="K5:T5"/>
    <mergeCell ref="U5:X5"/>
    <mergeCell ref="Y5:AB5"/>
    <mergeCell ref="AC5:AU5"/>
    <mergeCell ref="B6:J6"/>
    <mergeCell ref="U6:X6"/>
    <mergeCell ref="Y6:AB6"/>
    <mergeCell ref="AC6:AU6"/>
    <mergeCell ref="B7:J7"/>
    <mergeCell ref="U7:X7"/>
    <mergeCell ref="Y7:AB7"/>
    <mergeCell ref="AC7:AU7"/>
    <mergeCell ref="B8:J8"/>
    <mergeCell ref="U8:X8"/>
    <mergeCell ref="Y8:AB8"/>
    <mergeCell ref="AC8:AU8"/>
    <mergeCell ref="B9:J9"/>
    <mergeCell ref="U9:X9"/>
    <mergeCell ref="Y9:AB9"/>
    <mergeCell ref="AC9:AU9"/>
    <mergeCell ref="B10:J10"/>
    <mergeCell ref="U10:X10"/>
    <mergeCell ref="Y10:AB10"/>
    <mergeCell ref="AC10:AU10"/>
    <mergeCell ref="B11:J11"/>
    <mergeCell ref="U11:X11"/>
    <mergeCell ref="Y11:AB11"/>
    <mergeCell ref="AC11:AU11"/>
    <mergeCell ref="B14:J14"/>
    <mergeCell ref="U14:X14"/>
    <mergeCell ref="Y14:AB14"/>
    <mergeCell ref="AC14:AU14"/>
    <mergeCell ref="B12:J12"/>
    <mergeCell ref="U12:X12"/>
    <mergeCell ref="Y12:AB12"/>
    <mergeCell ref="AC12:AU12"/>
    <mergeCell ref="U13:X13"/>
    <mergeCell ref="Y13:AB13"/>
    <mergeCell ref="AC13:AU13"/>
  </mergeCells>
  <phoneticPr fontId="7"/>
  <pageMargins left="0.196527777777778" right="0.196527777777778" top="0.39374999999999999" bottom="0.39374999999999999" header="0.51180555555555496" footer="0.31527777777777799"/>
  <pageSetup paperSize="9" scale="73" firstPageNumber="0" orientation="landscape" horizontalDpi="300" verticalDpi="300" r:id="rId1"/>
  <headerFooter>
    <oddFooter>&amp;C&amp;9&amp;P/&amp;N&amp;R&amp;9Copyright © 2022 NeTS Co. Ltd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MK23"/>
  <sheetViews>
    <sheetView view="pageBreakPreview" topLeftCell="A4" zoomScaleNormal="100" zoomScaleSheetLayoutView="100" workbookViewId="0">
      <selection activeCell="J19" sqref="J19"/>
    </sheetView>
  </sheetViews>
  <sheetFormatPr defaultRowHeight="18.75" x14ac:dyDescent="0.4"/>
  <cols>
    <col min="1" max="1025" width="3.75" style="1" customWidth="1"/>
  </cols>
  <sheetData>
    <row r="1" spans="1:40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125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46133</v>
      </c>
      <c r="AL1" s="109"/>
      <c r="AM1" s="109"/>
      <c r="AN1" s="110"/>
    </row>
    <row r="2" spans="1:40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46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42</v>
      </c>
      <c r="AL2" s="11"/>
      <c r="AM2" s="11"/>
      <c r="AN2" s="12"/>
    </row>
    <row r="3" spans="1:40" ht="3" customHeight="1" x14ac:dyDescent="0.4"/>
    <row r="4" spans="1:40" x14ac:dyDescent="0.4">
      <c r="A4" s="14" t="s">
        <v>25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5" t="s">
        <v>21</v>
      </c>
      <c r="B5" s="6"/>
      <c r="C5" s="5" t="s">
        <v>26</v>
      </c>
      <c r="D5" s="6"/>
      <c r="E5" s="6"/>
      <c r="F5" s="6"/>
      <c r="G5" s="6"/>
      <c r="H5" s="6"/>
      <c r="I5" s="6"/>
      <c r="J5" s="6"/>
      <c r="K5" s="6"/>
      <c r="L5" s="5" t="s">
        <v>17</v>
      </c>
      <c r="M5" s="6"/>
      <c r="N5" s="6"/>
      <c r="O5" s="7"/>
      <c r="P5" s="5" t="s">
        <v>16</v>
      </c>
      <c r="Q5" s="7"/>
      <c r="R5" s="5" t="s">
        <v>27</v>
      </c>
      <c r="S5" s="7"/>
      <c r="T5" s="5" t="s">
        <v>19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/>
    </row>
    <row r="6" spans="1:40" x14ac:dyDescent="0.4">
      <c r="A6" s="155" t="s">
        <v>6</v>
      </c>
      <c r="B6" s="155"/>
      <c r="C6" s="17" t="s">
        <v>144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</row>
    <row r="7" spans="1:40" x14ac:dyDescent="0.4">
      <c r="A7" s="155">
        <v>1</v>
      </c>
      <c r="B7" s="155"/>
      <c r="C7" s="30"/>
      <c r="D7" s="10" t="s">
        <v>51</v>
      </c>
      <c r="E7" s="11"/>
      <c r="F7" s="11"/>
      <c r="G7" s="11"/>
      <c r="H7" s="11"/>
      <c r="I7" s="11"/>
      <c r="J7" s="11"/>
      <c r="K7" s="12"/>
      <c r="L7" s="10" t="s">
        <v>28</v>
      </c>
      <c r="M7" s="11"/>
      <c r="N7" s="11"/>
      <c r="O7" s="12"/>
      <c r="P7" s="155" t="s">
        <v>65</v>
      </c>
      <c r="Q7" s="155"/>
      <c r="R7" s="155">
        <v>3</v>
      </c>
      <c r="S7" s="155"/>
      <c r="T7" s="10" t="s">
        <v>102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 spans="1:40" x14ac:dyDescent="0.4">
      <c r="A8" s="155">
        <v>2</v>
      </c>
      <c r="B8" s="155"/>
      <c r="C8" s="30"/>
      <c r="D8" s="10" t="s">
        <v>95</v>
      </c>
      <c r="E8" s="11"/>
      <c r="F8" s="11"/>
      <c r="G8" s="11"/>
      <c r="H8" s="11"/>
      <c r="I8" s="11"/>
      <c r="J8" s="11"/>
      <c r="K8" s="12"/>
      <c r="L8" s="10" t="s">
        <v>28</v>
      </c>
      <c r="M8" s="11"/>
      <c r="N8" s="11"/>
      <c r="O8" s="12"/>
      <c r="P8" s="155" t="s">
        <v>65</v>
      </c>
      <c r="Q8" s="155"/>
      <c r="R8" s="155">
        <v>30</v>
      </c>
      <c r="S8" s="155"/>
      <c r="T8" s="10" t="s">
        <v>98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2"/>
    </row>
    <row r="9" spans="1:40" x14ac:dyDescent="0.4">
      <c r="A9" s="155">
        <v>3</v>
      </c>
      <c r="B9" s="155"/>
      <c r="C9" s="20"/>
      <c r="D9" s="10" t="s">
        <v>145</v>
      </c>
      <c r="E9" s="11"/>
      <c r="F9" s="11"/>
      <c r="G9" s="11"/>
      <c r="H9" s="11"/>
      <c r="I9" s="11"/>
      <c r="J9" s="11"/>
      <c r="K9" s="11"/>
      <c r="L9" s="10" t="s">
        <v>99</v>
      </c>
      <c r="M9" s="11"/>
      <c r="N9" s="11"/>
      <c r="O9" s="12"/>
      <c r="P9" s="155" t="s">
        <v>65</v>
      </c>
      <c r="Q9" s="155"/>
      <c r="R9" s="155" t="s">
        <v>6</v>
      </c>
      <c r="S9" s="155"/>
      <c r="T9" s="17" t="s">
        <v>108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9"/>
    </row>
    <row r="10" spans="1:40" x14ac:dyDescent="0.4">
      <c r="A10" s="155">
        <v>4</v>
      </c>
      <c r="B10" s="155"/>
      <c r="C10" s="20"/>
      <c r="D10" s="10" t="s">
        <v>146</v>
      </c>
      <c r="E10" s="11"/>
      <c r="F10" s="11"/>
      <c r="G10" s="11"/>
      <c r="H10" s="11"/>
      <c r="I10" s="11"/>
      <c r="J10" s="11"/>
      <c r="K10" s="11"/>
      <c r="L10" s="10" t="s">
        <v>99</v>
      </c>
      <c r="M10" s="11"/>
      <c r="N10" s="11"/>
      <c r="O10" s="12"/>
      <c r="P10" s="155" t="s">
        <v>65</v>
      </c>
      <c r="Q10" s="155"/>
      <c r="R10" s="155" t="s">
        <v>6</v>
      </c>
      <c r="S10" s="155"/>
      <c r="T10" s="2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4"/>
    </row>
    <row r="11" spans="1:40" x14ac:dyDescent="0.4">
      <c r="A11" s="155">
        <v>5</v>
      </c>
      <c r="B11" s="155"/>
      <c r="C11" s="30"/>
      <c r="D11" s="10" t="s">
        <v>93</v>
      </c>
      <c r="E11" s="11"/>
      <c r="F11" s="11"/>
      <c r="G11" s="11"/>
      <c r="H11" s="11"/>
      <c r="I11" s="11"/>
      <c r="J11" s="11"/>
      <c r="K11" s="11"/>
      <c r="L11" s="10" t="s">
        <v>28</v>
      </c>
      <c r="M11" s="11"/>
      <c r="N11" s="11"/>
      <c r="O11" s="12"/>
      <c r="P11" s="153" t="s">
        <v>65</v>
      </c>
      <c r="Q11" s="154"/>
      <c r="R11" s="153">
        <v>3</v>
      </c>
      <c r="S11" s="154"/>
      <c r="T11" s="11" t="s">
        <v>102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2"/>
    </row>
    <row r="12" spans="1:40" x14ac:dyDescent="0.4">
      <c r="A12" s="155">
        <v>6</v>
      </c>
      <c r="B12" s="155"/>
      <c r="C12" s="58"/>
      <c r="D12" s="10" t="s">
        <v>147</v>
      </c>
      <c r="E12" s="23"/>
      <c r="F12" s="23"/>
      <c r="G12" s="23"/>
      <c r="H12" s="23"/>
      <c r="I12" s="23"/>
      <c r="J12" s="23"/>
      <c r="K12" s="23"/>
      <c r="L12" s="10" t="s">
        <v>100</v>
      </c>
      <c r="M12" s="11"/>
      <c r="N12" s="11"/>
      <c r="O12" s="12"/>
      <c r="P12" s="155" t="s">
        <v>65</v>
      </c>
      <c r="Q12" s="155"/>
      <c r="R12" s="155" t="s">
        <v>6</v>
      </c>
      <c r="S12" s="155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x14ac:dyDescent="0.4">
      <c r="A13" s="155">
        <v>7</v>
      </c>
      <c r="B13" s="155"/>
      <c r="C13" s="58"/>
      <c r="D13" s="10" t="s">
        <v>148</v>
      </c>
      <c r="E13" s="23"/>
      <c r="F13" s="23"/>
      <c r="G13" s="23"/>
      <c r="H13" s="23"/>
      <c r="I13" s="23"/>
      <c r="J13" s="23"/>
      <c r="K13" s="23"/>
      <c r="L13" s="10" t="s">
        <v>100</v>
      </c>
      <c r="M13" s="11"/>
      <c r="N13" s="11"/>
      <c r="O13" s="12"/>
      <c r="P13" s="155" t="s">
        <v>65</v>
      </c>
      <c r="Q13" s="155"/>
      <c r="R13" s="155" t="s">
        <v>6</v>
      </c>
      <c r="S13" s="155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x14ac:dyDescent="0.4">
      <c r="A14" s="155">
        <v>8</v>
      </c>
      <c r="B14" s="155"/>
      <c r="C14" s="30"/>
      <c r="D14" s="10" t="s">
        <v>101</v>
      </c>
      <c r="E14" s="23"/>
      <c r="F14" s="23"/>
      <c r="G14" s="23"/>
      <c r="H14" s="23"/>
      <c r="I14" s="23"/>
      <c r="J14" s="23"/>
      <c r="K14" s="23"/>
      <c r="L14" s="10" t="s">
        <v>67</v>
      </c>
      <c r="M14" s="11"/>
      <c r="N14" s="11"/>
      <c r="O14" s="12"/>
      <c r="P14" s="155" t="s">
        <v>66</v>
      </c>
      <c r="Q14" s="155"/>
      <c r="R14" s="155" t="s">
        <v>6</v>
      </c>
      <c r="S14" s="155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x14ac:dyDescent="0.4">
      <c r="A15" s="155">
        <v>9</v>
      </c>
      <c r="B15" s="155"/>
      <c r="C15" s="58"/>
      <c r="D15" s="10" t="s">
        <v>68</v>
      </c>
      <c r="E15" s="23"/>
      <c r="F15" s="23"/>
      <c r="G15" s="23"/>
      <c r="H15" s="23"/>
      <c r="I15" s="23"/>
      <c r="J15" s="23"/>
      <c r="K15" s="23"/>
      <c r="L15" s="10" t="s">
        <v>149</v>
      </c>
      <c r="M15" s="11"/>
      <c r="N15" s="11"/>
      <c r="O15" s="12"/>
      <c r="P15" s="155" t="s">
        <v>70</v>
      </c>
      <c r="Q15" s="155"/>
      <c r="R15" s="155" t="s">
        <v>6</v>
      </c>
      <c r="S15" s="155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x14ac:dyDescent="0.4">
      <c r="A16" s="155" t="s">
        <v>66</v>
      </c>
      <c r="B16" s="155"/>
      <c r="C16" s="20" t="s">
        <v>257</v>
      </c>
      <c r="D16" s="11"/>
      <c r="E16" s="23"/>
      <c r="F16" s="23"/>
      <c r="G16" s="23"/>
      <c r="H16" s="23"/>
      <c r="I16" s="23"/>
      <c r="J16" s="23"/>
      <c r="K16" s="23"/>
      <c r="L16" s="11"/>
      <c r="M16" s="23"/>
      <c r="N16" s="23"/>
      <c r="O16" s="23"/>
      <c r="P16" s="154"/>
      <c r="Q16" s="153"/>
      <c r="R16" s="154"/>
      <c r="S16" s="153"/>
      <c r="T16" s="11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x14ac:dyDescent="0.4">
      <c r="A17" s="155">
        <v>10</v>
      </c>
      <c r="B17" s="155"/>
      <c r="C17" s="20"/>
      <c r="D17" s="10" t="s">
        <v>51</v>
      </c>
      <c r="L17" s="10" t="s">
        <v>64</v>
      </c>
      <c r="P17" s="153" t="s">
        <v>70</v>
      </c>
      <c r="Q17" s="154"/>
      <c r="R17" s="153" t="s">
        <v>66</v>
      </c>
      <c r="S17" s="154"/>
      <c r="T17" s="10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x14ac:dyDescent="0.4">
      <c r="A18" s="155">
        <v>11</v>
      </c>
      <c r="B18" s="155"/>
      <c r="C18" s="20"/>
      <c r="D18" s="10" t="s">
        <v>52</v>
      </c>
      <c r="E18" s="11"/>
      <c r="F18" s="11"/>
      <c r="G18" s="11"/>
      <c r="H18" s="11"/>
      <c r="I18" s="11"/>
      <c r="J18" s="11"/>
      <c r="K18" s="11"/>
      <c r="L18" s="10" t="s">
        <v>64</v>
      </c>
      <c r="M18" s="11"/>
      <c r="N18" s="11"/>
      <c r="O18" s="12"/>
      <c r="P18" s="155" t="s">
        <v>70</v>
      </c>
      <c r="Q18" s="155"/>
      <c r="R18" s="155" t="s">
        <v>66</v>
      </c>
      <c r="S18" s="155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x14ac:dyDescent="0.4">
      <c r="A19" s="155">
        <v>12</v>
      </c>
      <c r="B19" s="155"/>
      <c r="C19" s="20"/>
      <c r="D19" s="10" t="s">
        <v>53</v>
      </c>
      <c r="E19" s="23"/>
      <c r="F19" s="23"/>
      <c r="G19" s="23"/>
      <c r="H19" s="23"/>
      <c r="I19" s="23"/>
      <c r="J19" s="23"/>
      <c r="K19" s="23"/>
      <c r="L19" s="10" t="s">
        <v>64</v>
      </c>
      <c r="M19" s="23"/>
      <c r="N19" s="23"/>
      <c r="O19" s="23"/>
      <c r="P19" s="153" t="s">
        <v>70</v>
      </c>
      <c r="Q19" s="154"/>
      <c r="R19" s="153" t="s">
        <v>6</v>
      </c>
      <c r="S19" s="154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x14ac:dyDescent="0.4">
      <c r="A20" s="157">
        <v>13</v>
      </c>
      <c r="B20" s="157"/>
      <c r="C20" s="20"/>
      <c r="D20" s="10" t="s">
        <v>93</v>
      </c>
      <c r="E20" s="23"/>
      <c r="F20" s="23"/>
      <c r="G20" s="23"/>
      <c r="H20" s="23"/>
      <c r="I20" s="23"/>
      <c r="J20" s="23"/>
      <c r="K20" s="23"/>
      <c r="L20" s="10" t="s">
        <v>64</v>
      </c>
      <c r="M20" s="23"/>
      <c r="N20" s="23"/>
      <c r="O20" s="23"/>
      <c r="P20" s="153" t="s">
        <v>70</v>
      </c>
      <c r="Q20" s="154"/>
      <c r="R20" s="153" t="s">
        <v>66</v>
      </c>
      <c r="S20" s="15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2"/>
    </row>
    <row r="21" spans="1:40" x14ac:dyDescent="0.4">
      <c r="A21" s="156">
        <v>14</v>
      </c>
      <c r="B21" s="154"/>
      <c r="C21" s="22"/>
      <c r="D21" s="10" t="s">
        <v>68</v>
      </c>
      <c r="E21" s="23"/>
      <c r="F21" s="23"/>
      <c r="G21" s="23"/>
      <c r="H21" s="23"/>
      <c r="I21" s="23"/>
      <c r="J21" s="23"/>
      <c r="K21" s="23"/>
      <c r="L21" s="10" t="s">
        <v>149</v>
      </c>
      <c r="M21" s="23"/>
      <c r="N21" s="23"/>
      <c r="O21" s="23"/>
      <c r="P21" s="153" t="s">
        <v>70</v>
      </c>
      <c r="Q21" s="154"/>
      <c r="R21" s="153" t="s">
        <v>66</v>
      </c>
      <c r="S21" s="154"/>
      <c r="T21" s="10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2"/>
    </row>
    <row r="22" spans="1:40" x14ac:dyDescent="0.4">
      <c r="A22" s="151" t="s">
        <v>66</v>
      </c>
      <c r="B22" s="152"/>
      <c r="C22" s="77" t="s">
        <v>177</v>
      </c>
      <c r="D22" s="78"/>
      <c r="E22" s="78"/>
      <c r="F22" s="78"/>
      <c r="G22" s="78"/>
      <c r="H22" s="78"/>
      <c r="I22" s="78"/>
      <c r="J22" s="78"/>
      <c r="K22" s="78"/>
      <c r="L22" s="79"/>
      <c r="M22" s="78"/>
      <c r="N22" s="78"/>
      <c r="O22" s="78"/>
      <c r="P22" s="148"/>
      <c r="Q22" s="148"/>
      <c r="R22" s="148"/>
      <c r="S22" s="148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2"/>
    </row>
    <row r="23" spans="1:40" x14ac:dyDescent="0.4">
      <c r="A23" s="147">
        <v>15</v>
      </c>
      <c r="B23" s="147"/>
      <c r="C23" s="77"/>
      <c r="D23" s="80" t="s">
        <v>177</v>
      </c>
      <c r="E23" s="78"/>
      <c r="F23" s="78"/>
      <c r="G23" s="78"/>
      <c r="H23" s="78"/>
      <c r="I23" s="78"/>
      <c r="J23" s="78"/>
      <c r="K23" s="78"/>
      <c r="L23" s="80" t="s">
        <v>67</v>
      </c>
      <c r="M23" s="78"/>
      <c r="N23" s="78"/>
      <c r="O23" s="78"/>
      <c r="P23" s="149" t="s">
        <v>66</v>
      </c>
      <c r="Q23" s="150"/>
      <c r="R23" s="149" t="s">
        <v>66</v>
      </c>
      <c r="S23" s="150"/>
    </row>
  </sheetData>
  <mergeCells count="54">
    <mergeCell ref="A21:B21"/>
    <mergeCell ref="P21:Q21"/>
    <mergeCell ref="R21:S21"/>
    <mergeCell ref="R16:S16"/>
    <mergeCell ref="R18:S18"/>
    <mergeCell ref="R19:S19"/>
    <mergeCell ref="A16:B16"/>
    <mergeCell ref="A17:B17"/>
    <mergeCell ref="A18:B18"/>
    <mergeCell ref="A19:B19"/>
    <mergeCell ref="P16:Q16"/>
    <mergeCell ref="P18:Q18"/>
    <mergeCell ref="P19:Q19"/>
    <mergeCell ref="A20:B20"/>
    <mergeCell ref="P20:Q20"/>
    <mergeCell ref="R20:S20"/>
    <mergeCell ref="R13:S13"/>
    <mergeCell ref="AK1:AN1"/>
    <mergeCell ref="A6:B6"/>
    <mergeCell ref="A7:B7"/>
    <mergeCell ref="P7:Q7"/>
    <mergeCell ref="R7:S7"/>
    <mergeCell ref="A1:H2"/>
    <mergeCell ref="A8:B8"/>
    <mergeCell ref="A10:B10"/>
    <mergeCell ref="P10:Q10"/>
    <mergeCell ref="R10:S10"/>
    <mergeCell ref="A9:B9"/>
    <mergeCell ref="P9:Q9"/>
    <mergeCell ref="R9:S9"/>
    <mergeCell ref="P8:Q8"/>
    <mergeCell ref="R8:S8"/>
    <mergeCell ref="P17:Q17"/>
    <mergeCell ref="R17:S17"/>
    <mergeCell ref="A14:B14"/>
    <mergeCell ref="A11:B11"/>
    <mergeCell ref="P12:Q12"/>
    <mergeCell ref="R12:S12"/>
    <mergeCell ref="A15:B15"/>
    <mergeCell ref="P14:Q14"/>
    <mergeCell ref="R14:S14"/>
    <mergeCell ref="P15:Q15"/>
    <mergeCell ref="R15:S15"/>
    <mergeCell ref="P11:Q11"/>
    <mergeCell ref="R11:S11"/>
    <mergeCell ref="A12:B12"/>
    <mergeCell ref="A13:B13"/>
    <mergeCell ref="P13:Q13"/>
    <mergeCell ref="A23:B23"/>
    <mergeCell ref="P22:Q22"/>
    <mergeCell ref="R22:S22"/>
    <mergeCell ref="P23:Q23"/>
    <mergeCell ref="R23:S23"/>
    <mergeCell ref="A22:B22"/>
  </mergeCells>
  <phoneticPr fontId="7"/>
  <pageMargins left="0.19685039370078741" right="0.19685039370078741" top="0.39370078740157483" bottom="0.39370078740157483" header="0.51181102362204722" footer="0.51181102362204722"/>
  <pageSetup paperSize="9" scale="89" firstPageNumber="0" orientation="landscape" horizontalDpi="300" verticalDpi="300" r:id="rId1"/>
  <headerFooter>
    <oddFooter>&amp;C&amp;P/&amp;N
&amp;RCopyright © 2022 NeTS Co. Ltd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MK8"/>
  <sheetViews>
    <sheetView showGridLines="0" view="pageBreakPreview" zoomScaleNormal="100" zoomScaleSheetLayoutView="100" workbookViewId="0">
      <selection activeCell="AK2" sqref="AK2"/>
    </sheetView>
  </sheetViews>
  <sheetFormatPr defaultRowHeight="18.75" x14ac:dyDescent="0.4"/>
  <cols>
    <col min="1" max="1025" width="3.75" style="1" customWidth="1"/>
  </cols>
  <sheetData>
    <row r="1" spans="1:40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125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46133</v>
      </c>
      <c r="AL1" s="109"/>
      <c r="AM1" s="109"/>
      <c r="AN1" s="110"/>
    </row>
    <row r="2" spans="1:40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43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42</v>
      </c>
      <c r="AL2" s="28"/>
      <c r="AM2" s="28"/>
      <c r="AN2" s="29"/>
    </row>
    <row r="3" spans="1:40" ht="3" customHeight="1" x14ac:dyDescent="0.4"/>
    <row r="4" spans="1:40" x14ac:dyDescent="0.4">
      <c r="A4" s="14" t="s">
        <v>29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">
      <c r="A5" s="31" t="s">
        <v>21</v>
      </c>
      <c r="B5" s="32"/>
      <c r="C5" s="31" t="s">
        <v>26</v>
      </c>
      <c r="D5" s="32"/>
      <c r="E5" s="32"/>
      <c r="F5" s="32"/>
      <c r="G5" s="32"/>
      <c r="H5" s="32"/>
      <c r="I5" s="32"/>
      <c r="J5" s="32"/>
      <c r="K5" s="32"/>
      <c r="L5" s="31" t="s">
        <v>30</v>
      </c>
      <c r="M5" s="32"/>
      <c r="N5" s="32"/>
      <c r="O5" s="32"/>
      <c r="P5" s="32"/>
      <c r="Q5" s="32"/>
      <c r="R5" s="33"/>
      <c r="S5" s="31" t="s">
        <v>31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3"/>
    </row>
    <row r="6" spans="1:40" x14ac:dyDescent="0.4">
      <c r="A6" s="158">
        <v>1</v>
      </c>
      <c r="B6" s="158"/>
      <c r="C6" s="17" t="s">
        <v>141</v>
      </c>
      <c r="D6" s="18"/>
      <c r="E6" s="18"/>
      <c r="F6" s="18"/>
      <c r="G6" s="18"/>
      <c r="H6" s="18"/>
      <c r="I6" s="18"/>
      <c r="J6" s="18"/>
      <c r="K6" s="19"/>
      <c r="L6" s="17" t="s">
        <v>103</v>
      </c>
      <c r="M6" s="18"/>
      <c r="N6" s="18"/>
      <c r="O6" s="18"/>
      <c r="P6" s="18"/>
      <c r="Q6" s="18"/>
      <c r="R6" s="19"/>
      <c r="S6" s="17" t="s">
        <v>104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9"/>
    </row>
    <row r="7" spans="1:40" x14ac:dyDescent="0.4">
      <c r="A7" s="155">
        <v>2</v>
      </c>
      <c r="B7" s="155"/>
      <c r="C7" s="17" t="s">
        <v>101</v>
      </c>
      <c r="D7" s="18"/>
      <c r="E7" s="18"/>
      <c r="F7" s="18"/>
      <c r="G7" s="18"/>
      <c r="H7" s="18"/>
      <c r="I7" s="18"/>
      <c r="J7" s="18"/>
      <c r="K7" s="19"/>
      <c r="L7" s="17" t="s">
        <v>44</v>
      </c>
      <c r="M7" s="18"/>
      <c r="N7" s="18"/>
      <c r="O7" s="18"/>
      <c r="P7" s="18"/>
      <c r="Q7" s="18"/>
      <c r="R7" s="19"/>
      <c r="S7" s="17" t="s">
        <v>105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9"/>
    </row>
    <row r="8" spans="1:40" x14ac:dyDescent="0.4">
      <c r="A8" s="155">
        <v>3</v>
      </c>
      <c r="B8" s="155"/>
      <c r="C8" s="17" t="s">
        <v>177</v>
      </c>
      <c r="D8" s="18"/>
      <c r="E8" s="18"/>
      <c r="F8" s="18"/>
      <c r="G8" s="18"/>
      <c r="H8" s="18"/>
      <c r="I8" s="18"/>
      <c r="J8" s="18"/>
      <c r="K8" s="19"/>
      <c r="L8" s="17" t="s">
        <v>44</v>
      </c>
      <c r="M8" s="18"/>
      <c r="N8" s="18"/>
      <c r="O8" s="18"/>
      <c r="P8" s="18"/>
      <c r="Q8" s="18"/>
      <c r="R8" s="19"/>
      <c r="S8" s="17" t="s">
        <v>183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9"/>
    </row>
  </sheetData>
  <mergeCells count="5">
    <mergeCell ref="A1:H2"/>
    <mergeCell ref="AK1:AN1"/>
    <mergeCell ref="A6:B6"/>
    <mergeCell ref="A7:B7"/>
    <mergeCell ref="A8:B8"/>
  </mergeCells>
  <phoneticPr fontId="7"/>
  <pageMargins left="0.19685039370078741" right="0.19685039370078741" top="0.39370078740157483" bottom="0.39370078740157483" header="0.51181102362204722" footer="0.51181102362204722"/>
  <pageSetup paperSize="9" scale="88" firstPageNumber="0" orientation="landscape" horizontalDpi="300" verticalDpi="300" r:id="rId1"/>
  <headerFooter>
    <oddFooter>&amp;C&amp;P/&amp;N&amp;RCopyright © 2022 NeTS Co. Ltd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AMG42"/>
  <sheetViews>
    <sheetView view="pageBreakPreview" topLeftCell="A4" zoomScale="95" zoomScaleNormal="100" zoomScaleSheetLayoutView="95" workbookViewId="0">
      <selection activeCell="V13" sqref="V13"/>
    </sheetView>
  </sheetViews>
  <sheetFormatPr defaultRowHeight="18.75" x14ac:dyDescent="0.4"/>
  <cols>
    <col min="1" max="1021" width="3.75" style="1" customWidth="1"/>
  </cols>
  <sheetData>
    <row r="1" spans="1:36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5" t="s">
        <v>9</v>
      </c>
      <c r="R1" s="6"/>
      <c r="S1" s="6"/>
      <c r="T1" s="7"/>
      <c r="U1" s="10" t="s">
        <v>125</v>
      </c>
      <c r="V1" s="11"/>
      <c r="W1" s="11"/>
      <c r="X1" s="11"/>
      <c r="Y1" s="11"/>
      <c r="Z1" s="11"/>
      <c r="AA1" s="11"/>
      <c r="AB1" s="11"/>
      <c r="AC1" s="12"/>
      <c r="AD1" s="5" t="s">
        <v>1</v>
      </c>
      <c r="AE1" s="6"/>
      <c r="AF1" s="7"/>
      <c r="AG1" s="108">
        <v>46149</v>
      </c>
      <c r="AH1" s="109"/>
      <c r="AI1" s="109"/>
      <c r="AJ1" s="110"/>
    </row>
    <row r="2" spans="1:36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43</v>
      </c>
      <c r="N2" s="11"/>
      <c r="O2" s="11"/>
      <c r="P2" s="11"/>
      <c r="Q2" s="5" t="s">
        <v>11</v>
      </c>
      <c r="R2" s="6"/>
      <c r="S2" s="6"/>
      <c r="T2" s="7"/>
      <c r="U2" s="10" t="s">
        <v>96</v>
      </c>
      <c r="V2" s="11"/>
      <c r="W2" s="11"/>
      <c r="X2" s="11"/>
      <c r="Y2" s="11"/>
      <c r="Z2" s="11"/>
      <c r="AA2" s="11"/>
      <c r="AB2" s="11"/>
      <c r="AC2" s="12"/>
      <c r="AD2" s="5" t="s">
        <v>2</v>
      </c>
      <c r="AE2" s="6"/>
      <c r="AF2" s="7"/>
      <c r="AG2" s="13" t="s">
        <v>42</v>
      </c>
      <c r="AH2" s="28"/>
      <c r="AI2" s="28"/>
      <c r="AJ2" s="29"/>
    </row>
    <row r="3" spans="1:36" ht="3" customHeight="1" x14ac:dyDescent="0.4"/>
    <row r="4" spans="1:36" x14ac:dyDescent="0.4">
      <c r="A4" s="14" t="s">
        <v>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6"/>
    </row>
    <row r="5" spans="1:36" x14ac:dyDescent="0.4">
      <c r="A5" s="34" t="s">
        <v>33</v>
      </c>
      <c r="B5" s="35" t="s">
        <v>142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6"/>
    </row>
    <row r="6" spans="1:36" x14ac:dyDescent="0.4">
      <c r="A6" s="20" t="s">
        <v>33</v>
      </c>
      <c r="B6" s="1" t="s">
        <v>106</v>
      </c>
      <c r="AJ6" s="21"/>
    </row>
    <row r="7" spans="1:36" x14ac:dyDescent="0.4">
      <c r="A7" s="20"/>
      <c r="AJ7" s="21"/>
    </row>
    <row r="8" spans="1:36" x14ac:dyDescent="0.4">
      <c r="A8" s="59" t="s">
        <v>76</v>
      </c>
      <c r="B8" s="1" t="s">
        <v>162</v>
      </c>
      <c r="AJ8" s="21"/>
    </row>
    <row r="9" spans="1:36" x14ac:dyDescent="0.4">
      <c r="AJ9" s="21"/>
    </row>
    <row r="10" spans="1:36" x14ac:dyDescent="0.4">
      <c r="A10" s="34" t="s">
        <v>35</v>
      </c>
      <c r="B10" s="35" t="s">
        <v>107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6"/>
    </row>
    <row r="11" spans="1:36" x14ac:dyDescent="0.4">
      <c r="A11" s="20" t="s">
        <v>33</v>
      </c>
      <c r="B11" s="1" t="s">
        <v>247</v>
      </c>
      <c r="AJ11" s="21"/>
    </row>
    <row r="12" spans="1:36" x14ac:dyDescent="0.4">
      <c r="B12" s="1" t="s">
        <v>249</v>
      </c>
      <c r="AJ12" s="21"/>
    </row>
    <row r="13" spans="1:36" x14ac:dyDescent="0.4">
      <c r="AJ13" s="21"/>
    </row>
    <row r="14" spans="1:36" x14ac:dyDescent="0.4">
      <c r="A14" s="20"/>
      <c r="K14" s="174" t="s">
        <v>261</v>
      </c>
      <c r="L14" s="174"/>
      <c r="M14" s="174"/>
      <c r="N14" s="174"/>
      <c r="O14" s="174"/>
      <c r="P14" s="174"/>
      <c r="Q14" s="174"/>
      <c r="R14" s="174"/>
      <c r="S14" s="174"/>
      <c r="T14" s="174"/>
      <c r="AJ14" s="21"/>
    </row>
    <row r="15" spans="1:36" x14ac:dyDescent="0.4">
      <c r="A15" s="20"/>
      <c r="B15" s="111" t="s">
        <v>109</v>
      </c>
      <c r="C15" s="111"/>
      <c r="D15" s="111"/>
      <c r="E15" s="111"/>
      <c r="F15" s="111"/>
      <c r="G15" s="111"/>
      <c r="H15" s="111"/>
      <c r="I15" s="112"/>
      <c r="J15" s="173"/>
      <c r="K15" s="175" t="s">
        <v>217</v>
      </c>
      <c r="L15" s="175"/>
      <c r="M15" s="175"/>
      <c r="N15" s="175"/>
      <c r="O15" s="170" t="s">
        <v>216</v>
      </c>
      <c r="P15" s="171"/>
      <c r="Q15" s="171"/>
      <c r="R15" s="171"/>
      <c r="S15" s="171"/>
      <c r="T15" s="172"/>
      <c r="U15" s="87" t="s">
        <v>248</v>
      </c>
      <c r="V15" s="84"/>
      <c r="W15" s="85"/>
      <c r="X15" s="86"/>
      <c r="Y15" s="86"/>
      <c r="Z15" s="86"/>
      <c r="AA15" s="86"/>
      <c r="AB15" s="86"/>
      <c r="AC15" s="87"/>
      <c r="AD15" s="86" t="s">
        <v>168</v>
      </c>
      <c r="AE15" s="86"/>
      <c r="AF15" s="86"/>
      <c r="AG15" s="86"/>
      <c r="AH15" s="87"/>
      <c r="AJ15" s="21"/>
    </row>
    <row r="16" spans="1:36" x14ac:dyDescent="0.4">
      <c r="A16" s="20"/>
      <c r="B16" s="8" t="s">
        <v>126</v>
      </c>
      <c r="C16" s="8"/>
      <c r="D16" s="8"/>
      <c r="E16" s="8"/>
      <c r="F16" s="8"/>
      <c r="G16" s="10"/>
      <c r="H16" s="11"/>
      <c r="I16" s="11"/>
      <c r="J16" s="12"/>
      <c r="K16" s="69" t="s">
        <v>213</v>
      </c>
      <c r="L16" s="11"/>
      <c r="M16" s="11"/>
      <c r="N16" s="12"/>
      <c r="O16" s="94" t="s">
        <v>218</v>
      </c>
      <c r="P16" s="23"/>
      <c r="Q16" s="23"/>
      <c r="R16" s="23"/>
      <c r="S16" s="23"/>
      <c r="T16" s="23"/>
      <c r="U16" s="106" t="s">
        <v>185</v>
      </c>
      <c r="V16" s="106"/>
      <c r="W16" s="106"/>
      <c r="X16" s="106"/>
      <c r="Y16" s="106"/>
      <c r="Z16" s="106"/>
      <c r="AA16" s="74"/>
      <c r="AB16" s="73"/>
      <c r="AC16" s="105"/>
      <c r="AD16" s="79" t="s">
        <v>184</v>
      </c>
      <c r="AE16" s="79"/>
      <c r="AF16" s="79"/>
      <c r="AG16" s="79"/>
      <c r="AH16" s="89"/>
      <c r="AJ16" s="21"/>
    </row>
    <row r="17" spans="1:1021" x14ac:dyDescent="0.4">
      <c r="A17" s="20"/>
      <c r="B17" s="8" t="s">
        <v>139</v>
      </c>
      <c r="C17" s="8"/>
      <c r="D17" s="8"/>
      <c r="E17" s="8"/>
      <c r="F17" s="8"/>
      <c r="G17" s="8"/>
      <c r="H17" s="10"/>
      <c r="I17" s="11"/>
      <c r="J17" s="12"/>
      <c r="K17" s="69" t="s">
        <v>213</v>
      </c>
      <c r="L17" s="23"/>
      <c r="M17" s="23"/>
      <c r="N17" s="24"/>
      <c r="O17" s="23"/>
      <c r="P17" s="23"/>
      <c r="Q17" s="23"/>
      <c r="R17" s="23"/>
      <c r="S17" s="11"/>
      <c r="T17" s="11"/>
      <c r="U17" s="106" t="s">
        <v>187</v>
      </c>
      <c r="V17" s="106"/>
      <c r="W17" s="106"/>
      <c r="X17" s="106"/>
      <c r="Y17" s="106"/>
      <c r="Z17" s="106"/>
      <c r="AA17" s="74"/>
      <c r="AB17" s="73"/>
      <c r="AC17" s="105"/>
      <c r="AD17" s="79" t="s">
        <v>186</v>
      </c>
      <c r="AE17" s="78"/>
      <c r="AF17" s="78"/>
      <c r="AG17" s="78"/>
      <c r="AH17" s="98"/>
      <c r="AJ17" s="21"/>
    </row>
    <row r="18" spans="1:1021" x14ac:dyDescent="0.4">
      <c r="B18" s="8" t="s">
        <v>110</v>
      </c>
      <c r="C18" s="8"/>
      <c r="D18" s="8"/>
      <c r="E18" s="8"/>
      <c r="F18" s="8"/>
      <c r="G18" s="8"/>
      <c r="H18" s="10"/>
      <c r="I18" s="11"/>
      <c r="J18" s="12"/>
      <c r="K18" s="69" t="s">
        <v>214</v>
      </c>
      <c r="L18" s="23"/>
      <c r="M18" s="23"/>
      <c r="N18" s="24"/>
      <c r="O18" s="95" t="s">
        <v>219</v>
      </c>
      <c r="P18" s="23"/>
      <c r="Q18" s="23"/>
      <c r="R18" s="23"/>
      <c r="S18" s="23"/>
      <c r="T18" s="23"/>
      <c r="U18" s="162" t="s">
        <v>189</v>
      </c>
      <c r="V18" s="106"/>
      <c r="W18" s="106"/>
      <c r="X18" s="106"/>
      <c r="Y18" s="106"/>
      <c r="Z18" s="106"/>
      <c r="AA18" s="106"/>
      <c r="AB18" s="106"/>
      <c r="AC18" s="106"/>
      <c r="AD18" s="79" t="s">
        <v>188</v>
      </c>
      <c r="AE18" s="80"/>
      <c r="AF18" s="79"/>
      <c r="AG18" s="79"/>
      <c r="AH18" s="89"/>
      <c r="AJ18" s="21"/>
    </row>
    <row r="19" spans="1:1021" x14ac:dyDescent="0.4">
      <c r="B19" s="8" t="s">
        <v>111</v>
      </c>
      <c r="C19" s="8"/>
      <c r="D19" s="8"/>
      <c r="E19" s="8"/>
      <c r="F19" s="8"/>
      <c r="G19" s="8"/>
      <c r="H19" s="10"/>
      <c r="I19" s="11"/>
      <c r="J19" s="12"/>
      <c r="K19" s="94" t="s">
        <v>215</v>
      </c>
      <c r="L19" s="23"/>
      <c r="M19" s="23"/>
      <c r="N19" s="24"/>
      <c r="O19" s="95" t="s">
        <v>220</v>
      </c>
      <c r="P19" s="23"/>
      <c r="Q19" s="23"/>
      <c r="R19" s="23"/>
      <c r="S19" s="23"/>
      <c r="T19" s="24"/>
      <c r="U19" s="162" t="s">
        <v>191</v>
      </c>
      <c r="V19" s="106"/>
      <c r="W19" s="106"/>
      <c r="X19" s="106"/>
      <c r="Y19" s="106"/>
      <c r="Z19" s="106"/>
      <c r="AA19" s="106"/>
      <c r="AB19" s="74"/>
      <c r="AC19" s="105"/>
      <c r="AD19" s="79" t="s">
        <v>190</v>
      </c>
      <c r="AE19" s="79"/>
      <c r="AF19" s="79"/>
      <c r="AG19" s="79"/>
      <c r="AH19" s="89"/>
      <c r="AJ19" s="21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</row>
    <row r="20" spans="1:1021" x14ac:dyDescent="0.4">
      <c r="B20" s="8" t="s">
        <v>140</v>
      </c>
      <c r="C20" s="8"/>
      <c r="D20" s="8"/>
      <c r="E20" s="8"/>
      <c r="F20" s="8"/>
      <c r="G20" s="8"/>
      <c r="H20" s="8"/>
      <c r="I20" s="10"/>
      <c r="J20" s="12"/>
      <c r="K20" s="94" t="s">
        <v>215</v>
      </c>
      <c r="L20" s="23"/>
      <c r="M20" s="23"/>
      <c r="N20" s="24"/>
      <c r="O20" s="23"/>
      <c r="P20" s="23"/>
      <c r="Q20" s="23"/>
      <c r="R20" s="23"/>
      <c r="S20" s="23"/>
      <c r="T20" s="24"/>
      <c r="U20" s="106" t="s">
        <v>193</v>
      </c>
      <c r="V20" s="106"/>
      <c r="W20" s="106"/>
      <c r="X20" s="106"/>
      <c r="Y20" s="106"/>
      <c r="Z20" s="106"/>
      <c r="AA20" s="106"/>
      <c r="AB20" s="106"/>
      <c r="AC20" s="106"/>
      <c r="AD20" s="79" t="s">
        <v>192</v>
      </c>
      <c r="AE20" s="78"/>
      <c r="AF20" s="78"/>
      <c r="AG20" s="78"/>
      <c r="AH20" s="98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</row>
    <row r="21" spans="1:1021" x14ac:dyDescent="0.4">
      <c r="A21"/>
      <c r="B21" s="113" t="s">
        <v>112</v>
      </c>
      <c r="C21" s="114"/>
      <c r="D21" s="114"/>
      <c r="E21" s="114"/>
      <c r="F21" s="114"/>
      <c r="G21" s="114"/>
      <c r="H21" s="114"/>
      <c r="I21" s="114"/>
      <c r="J21" s="115"/>
      <c r="U21" s="161" t="s">
        <v>195</v>
      </c>
      <c r="V21" s="161"/>
      <c r="W21" s="161"/>
      <c r="X21" s="161"/>
      <c r="Y21" s="161"/>
      <c r="Z21" s="161"/>
      <c r="AA21" s="161"/>
      <c r="AB21" s="163"/>
      <c r="AC21" s="164"/>
      <c r="AD21" s="99" t="s">
        <v>194</v>
      </c>
      <c r="AE21" s="99"/>
      <c r="AF21" s="99"/>
      <c r="AG21" s="99"/>
      <c r="AH21" s="100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</row>
    <row r="22" spans="1:1021" x14ac:dyDescent="0.4">
      <c r="A22"/>
      <c r="B22" s="116"/>
      <c r="C22" s="117"/>
      <c r="D22" s="117"/>
      <c r="E22" s="117"/>
      <c r="F22" s="117"/>
      <c r="G22" s="117"/>
      <c r="H22" s="117"/>
      <c r="I22" s="117"/>
      <c r="J22" s="118"/>
      <c r="U22" s="165"/>
      <c r="V22" s="78"/>
      <c r="W22" s="78"/>
      <c r="X22" s="78"/>
      <c r="Y22" s="78"/>
      <c r="Z22" s="78"/>
      <c r="AA22" s="78"/>
      <c r="AB22" s="78"/>
      <c r="AC22" s="98"/>
      <c r="AD22" s="72"/>
      <c r="AE22" s="78"/>
      <c r="AF22" s="78"/>
      <c r="AG22" s="78"/>
      <c r="AH22" s="98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</row>
    <row r="23" spans="1:1021" x14ac:dyDescent="0.4">
      <c r="A23"/>
      <c r="B23" s="119" t="s">
        <v>132</v>
      </c>
      <c r="C23" s="120"/>
      <c r="D23" s="120"/>
      <c r="E23" s="120"/>
      <c r="F23" s="120"/>
      <c r="G23" s="120"/>
      <c r="H23" s="120"/>
      <c r="I23" s="120"/>
      <c r="J23" s="121"/>
      <c r="U23" s="161" t="s">
        <v>197</v>
      </c>
      <c r="V23" s="161"/>
      <c r="W23" s="161"/>
      <c r="X23" s="161"/>
      <c r="Y23" s="161"/>
      <c r="Z23" s="163"/>
      <c r="AA23" s="169"/>
      <c r="AB23" s="169"/>
      <c r="AC23" s="164"/>
      <c r="AD23" s="99" t="s">
        <v>196</v>
      </c>
      <c r="AE23" s="101"/>
      <c r="AF23" s="101"/>
      <c r="AG23" s="101"/>
      <c r="AH23" s="102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</row>
    <row r="24" spans="1:1021" x14ac:dyDescent="0.4">
      <c r="A24"/>
      <c r="B24" s="116"/>
      <c r="C24" s="117"/>
      <c r="D24" s="117"/>
      <c r="E24" s="117"/>
      <c r="F24" s="117"/>
      <c r="G24" s="117"/>
      <c r="H24" s="117"/>
      <c r="I24" s="117"/>
      <c r="J24" s="118"/>
      <c r="U24" s="166"/>
      <c r="V24" s="168"/>
      <c r="W24" s="168"/>
      <c r="X24" s="168"/>
      <c r="Y24" s="168"/>
      <c r="Z24" s="168"/>
      <c r="AA24" s="168"/>
      <c r="AB24" s="168"/>
      <c r="AC24" s="167"/>
      <c r="AD24" s="103"/>
      <c r="AE24" s="103"/>
      <c r="AF24" s="103"/>
      <c r="AG24" s="103"/>
      <c r="AH24" s="10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</row>
    <row r="25" spans="1:1021" x14ac:dyDescent="0.4">
      <c r="A25"/>
      <c r="B25" s="71"/>
      <c r="C25" s="71"/>
      <c r="D25" s="71"/>
      <c r="E25" s="71"/>
      <c r="F25" s="71"/>
      <c r="G25" s="71"/>
      <c r="H25" s="71"/>
      <c r="I25" s="71"/>
      <c r="J25" s="71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97"/>
      <c r="V25" s="97"/>
      <c r="W25" s="97"/>
      <c r="X25" s="97"/>
      <c r="AB25"/>
      <c r="AC25"/>
      <c r="AD25"/>
      <c r="AE25"/>
      <c r="AF25"/>
      <c r="AG25"/>
      <c r="AH25"/>
      <c r="AI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</row>
    <row r="26" spans="1:1021" x14ac:dyDescent="0.4">
      <c r="A26" s="20" t="s">
        <v>35</v>
      </c>
      <c r="B26" s="1" t="s">
        <v>258</v>
      </c>
      <c r="C26" s="71"/>
      <c r="D26" s="71"/>
      <c r="E26" s="71"/>
      <c r="F26" s="71"/>
      <c r="G26" s="71"/>
      <c r="H26" s="71"/>
      <c r="I26" s="71"/>
      <c r="J26" s="71"/>
      <c r="K26" s="96"/>
      <c r="L26" s="96"/>
      <c r="M26" s="96"/>
      <c r="N26" s="96"/>
      <c r="O26" s="96"/>
      <c r="P26" s="96"/>
      <c r="Q26" s="96"/>
      <c r="R26" s="96"/>
      <c r="S26" s="96"/>
      <c r="T26" s="97"/>
      <c r="U26" s="97"/>
      <c r="V26" s="97"/>
      <c r="W26" s="97"/>
      <c r="X26" s="97"/>
      <c r="AB26"/>
      <c r="AC26"/>
      <c r="AD26"/>
      <c r="AE26"/>
      <c r="AF26"/>
      <c r="AG26"/>
      <c r="AH26"/>
      <c r="AI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</row>
    <row r="27" spans="1:1021" x14ac:dyDescent="0.4">
      <c r="AJ27" s="21"/>
    </row>
    <row r="28" spans="1:1021" x14ac:dyDescent="0.4">
      <c r="A28" s="159" t="s">
        <v>36</v>
      </c>
      <c r="B28" s="160" t="s">
        <v>259</v>
      </c>
      <c r="AJ28" s="21"/>
    </row>
    <row r="29" spans="1:1021" x14ac:dyDescent="0.4">
      <c r="B29" s="160"/>
      <c r="AJ29" s="21"/>
    </row>
    <row r="30" spans="1:1021" x14ac:dyDescent="0.4">
      <c r="A30" s="68"/>
      <c r="B30" s="72" t="s">
        <v>250</v>
      </c>
      <c r="C30" s="72" t="s">
        <v>251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AJ30" s="21"/>
    </row>
    <row r="31" spans="1:1021" x14ac:dyDescent="0.4">
      <c r="A31" s="68"/>
      <c r="B31" s="72"/>
      <c r="C31" s="72"/>
      <c r="D31" s="72" t="s">
        <v>252</v>
      </c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AJ31" s="21"/>
    </row>
    <row r="32" spans="1:1021" x14ac:dyDescent="0.4">
      <c r="A32" s="68"/>
      <c r="B32" s="68" t="s">
        <v>253</v>
      </c>
      <c r="C32" s="68" t="s">
        <v>254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AJ32" s="21"/>
    </row>
    <row r="33" spans="1:36" x14ac:dyDescent="0.4">
      <c r="A33" s="68"/>
      <c r="B33" s="68"/>
      <c r="C33" s="68"/>
      <c r="D33" s="68" t="s">
        <v>260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AJ33" s="21"/>
    </row>
    <row r="34" spans="1:36" x14ac:dyDescent="0.4">
      <c r="AJ34" s="21"/>
    </row>
    <row r="35" spans="1:36" x14ac:dyDescent="0.4">
      <c r="A35" s="159" t="s">
        <v>37</v>
      </c>
      <c r="B35" s="1" t="s">
        <v>167</v>
      </c>
      <c r="AJ35" s="21"/>
    </row>
    <row r="36" spans="1:36" x14ac:dyDescent="0.4">
      <c r="AJ36" s="21"/>
    </row>
    <row r="37" spans="1:36" x14ac:dyDescent="0.4">
      <c r="A37" s="1" t="s">
        <v>76</v>
      </c>
      <c r="B37" s="1" t="s">
        <v>77</v>
      </c>
      <c r="AJ37" s="21"/>
    </row>
    <row r="39" spans="1:36" x14ac:dyDescent="0.4">
      <c r="A39" s="34" t="s">
        <v>36</v>
      </c>
      <c r="B39" s="35" t="s">
        <v>182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6"/>
    </row>
    <row r="40" spans="1:36" x14ac:dyDescent="0.4">
      <c r="A40" s="20" t="s">
        <v>33</v>
      </c>
      <c r="B40" s="1" t="s">
        <v>183</v>
      </c>
    </row>
    <row r="42" spans="1:36" x14ac:dyDescent="0.4">
      <c r="A42" s="1" t="s">
        <v>76</v>
      </c>
      <c r="B42" s="1" t="s">
        <v>77</v>
      </c>
    </row>
  </sheetData>
  <mergeCells count="6">
    <mergeCell ref="A1:H2"/>
    <mergeCell ref="AG1:AJ1"/>
    <mergeCell ref="B15:I15"/>
    <mergeCell ref="B21:J22"/>
    <mergeCell ref="B23:J24"/>
    <mergeCell ref="K14:T14"/>
  </mergeCells>
  <phoneticPr fontId="7"/>
  <pageMargins left="0.19685039370078741" right="0.19685039370078741" top="0.39370078740157483" bottom="0.39370078740157483" header="0.51181102362204722" footer="0.51181102362204722"/>
  <pageSetup paperSize="9" scale="36" firstPageNumber="0" orientation="landscape" horizontalDpi="300" verticalDpi="300" r:id="rId1"/>
  <headerFooter>
    <oddFooter>&amp;C&amp;P/&amp;N&amp;RCopyright © 2022 NeTS Co. Ltd All rights reserved.</oddFooter>
  </headerFooter>
  <rowBreaks count="2" manualBreakCount="2">
    <brk id="9" max="35" man="1"/>
    <brk id="38" max="3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CB8C-7526-46D3-B064-5AB1E591EE3F}">
  <sheetPr codeName="Sheet8"/>
  <dimension ref="A1:AMK20"/>
  <sheetViews>
    <sheetView tabSelected="1" view="pageBreakPreview" topLeftCell="A10" zoomScaleNormal="100" zoomScaleSheetLayoutView="100" workbookViewId="0">
      <selection activeCell="R38" sqref="R38"/>
    </sheetView>
  </sheetViews>
  <sheetFormatPr defaultRowHeight="18.75" x14ac:dyDescent="0.4"/>
  <cols>
    <col min="1" max="1025" width="3.75" style="1" customWidth="1"/>
  </cols>
  <sheetData>
    <row r="1" spans="1:1025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125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46126</v>
      </c>
      <c r="AL1" s="109"/>
      <c r="AM1" s="109"/>
      <c r="AN1" s="110"/>
    </row>
    <row r="2" spans="1:1025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43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42</v>
      </c>
      <c r="AL2" s="28"/>
      <c r="AM2" s="28"/>
      <c r="AN2" s="29"/>
    </row>
    <row r="3" spans="1:1025" ht="3" customHeight="1" x14ac:dyDescent="0.4"/>
    <row r="4" spans="1:1025" x14ac:dyDescent="0.4">
      <c r="A4" s="14" t="s">
        <v>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1025" x14ac:dyDescent="0.4">
      <c r="A5" s="38" t="s">
        <v>39</v>
      </c>
      <c r="B5" s="35" t="s">
        <v>165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1025" s="53" customFormat="1" x14ac:dyDescent="0.4">
      <c r="A6" s="54" t="s">
        <v>33</v>
      </c>
      <c r="B6" s="55" t="s">
        <v>40</v>
      </c>
      <c r="C6" s="55"/>
      <c r="D6" s="55"/>
      <c r="E6" s="55" t="s">
        <v>79</v>
      </c>
      <c r="F6" s="55"/>
      <c r="G6" s="55"/>
      <c r="I6" s="55" t="s">
        <v>45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6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spans="1:1025" s="53" customFormat="1" x14ac:dyDescent="0.4">
      <c r="A7" s="45"/>
      <c r="B7" s="45"/>
      <c r="C7" s="45"/>
      <c r="D7" s="45"/>
      <c r="E7" s="45"/>
      <c r="F7" s="45"/>
      <c r="G7" s="45"/>
      <c r="H7" s="57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51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spans="1:1025" s="53" customFormat="1" x14ac:dyDescent="0.4">
      <c r="A8" s="45" t="s">
        <v>35</v>
      </c>
      <c r="B8" s="45" t="s">
        <v>143</v>
      </c>
      <c r="C8" s="45"/>
      <c r="D8" s="45"/>
      <c r="E8" s="45"/>
      <c r="F8" s="45"/>
      <c r="G8" s="45"/>
      <c r="H8" s="57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51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spans="1:1025" s="53" customFormat="1" x14ac:dyDescent="0.4">
      <c r="B9" s="45"/>
      <c r="C9" s="45"/>
      <c r="D9" s="45"/>
      <c r="E9" s="45"/>
      <c r="F9" s="45"/>
      <c r="G9" s="45"/>
      <c r="H9" s="57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51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spans="1:1025" s="53" customFormat="1" x14ac:dyDescent="0.4">
      <c r="A10" s="45" t="s">
        <v>36</v>
      </c>
      <c r="B10" s="45" t="s">
        <v>164</v>
      </c>
      <c r="C10" s="45"/>
      <c r="D10" s="45"/>
      <c r="E10" s="45"/>
      <c r="F10" s="45"/>
      <c r="G10" s="45"/>
      <c r="H10" s="57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51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spans="1:1025" s="53" customFormat="1" x14ac:dyDescent="0.4">
      <c r="A11" s="45"/>
      <c r="B11" s="45"/>
      <c r="C11" s="45"/>
      <c r="D11" s="45"/>
      <c r="E11" s="45"/>
      <c r="F11" s="45"/>
      <c r="G11" s="45"/>
      <c r="H11" s="57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51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</row>
    <row r="12" spans="1:1025" s="53" customFormat="1" x14ac:dyDescent="0.4">
      <c r="A12" s="45" t="s">
        <v>76</v>
      </c>
      <c r="B12" s="45" t="s">
        <v>77</v>
      </c>
      <c r="C12" s="45"/>
      <c r="D12" s="45"/>
      <c r="E12" s="45"/>
      <c r="F12" s="45"/>
      <c r="G12" s="45"/>
      <c r="H12" s="57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51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</row>
    <row r="13" spans="1:1025" s="53" customFormat="1" x14ac:dyDescent="0.4">
      <c r="A13" s="45"/>
      <c r="B13" s="45"/>
      <c r="C13" s="45"/>
      <c r="D13" s="45"/>
      <c r="E13" s="45"/>
      <c r="F13" s="45"/>
      <c r="G13" s="45"/>
      <c r="H13" s="57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51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</row>
    <row r="14" spans="1:1025" s="53" customFormat="1" x14ac:dyDescent="0.4">
      <c r="A14" s="38" t="s">
        <v>34</v>
      </c>
      <c r="B14" s="35" t="s">
        <v>166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6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</row>
    <row r="15" spans="1:1025" s="53" customFormat="1" x14ac:dyDescent="0.4">
      <c r="A15" s="54" t="s">
        <v>33</v>
      </c>
      <c r="B15" s="45" t="s">
        <v>78</v>
      </c>
      <c r="C15" s="45"/>
      <c r="D15" s="45"/>
      <c r="E15" s="45" t="s">
        <v>80</v>
      </c>
      <c r="F15" s="45"/>
      <c r="G15" s="45"/>
      <c r="H15" s="60" t="s">
        <v>81</v>
      </c>
      <c r="I15" s="45"/>
      <c r="J15" s="57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51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</row>
    <row r="16" spans="1:1025" s="53" customFormat="1" x14ac:dyDescent="0.4">
      <c r="A16" s="45"/>
      <c r="B16" s="45"/>
      <c r="C16" s="45"/>
      <c r="D16" s="45"/>
      <c r="E16" s="45"/>
      <c r="F16" s="45"/>
      <c r="G16" s="45"/>
      <c r="H16" s="57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51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</row>
    <row r="17" spans="1:1025" s="53" customFormat="1" x14ac:dyDescent="0.4">
      <c r="A17" s="45" t="s">
        <v>35</v>
      </c>
      <c r="B17" s="45" t="s">
        <v>75</v>
      </c>
      <c r="C17" s="45"/>
      <c r="D17" s="45"/>
      <c r="E17" s="45"/>
      <c r="F17" s="45"/>
      <c r="G17" s="45"/>
      <c r="H17" s="57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51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</row>
    <row r="18" spans="1:1025" s="53" customFormat="1" x14ac:dyDescent="0.4">
      <c r="A18" s="45"/>
      <c r="B18" s="45"/>
      <c r="C18" s="45"/>
      <c r="D18" s="45"/>
      <c r="E18" s="45"/>
      <c r="F18" s="45"/>
      <c r="G18" s="45"/>
      <c r="H18" s="57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51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</row>
    <row r="19" spans="1:1025" s="53" customFormat="1" x14ac:dyDescent="0.4">
      <c r="A19" s="45" t="s">
        <v>76</v>
      </c>
      <c r="B19" s="45" t="s">
        <v>77</v>
      </c>
      <c r="C19" s="45"/>
      <c r="D19" s="45"/>
      <c r="E19" s="45"/>
      <c r="F19" s="45"/>
      <c r="G19" s="45"/>
      <c r="H19" s="57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51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</row>
    <row r="20" spans="1:1025" s="53" customFormat="1" x14ac:dyDescent="0.4">
      <c r="C20" s="45"/>
      <c r="D20" s="45"/>
      <c r="E20" s="45"/>
      <c r="F20" s="45"/>
      <c r="G20" s="45"/>
      <c r="H20" s="57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51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63" firstPageNumber="0" orientation="landscape" horizontalDpi="300" verticalDpi="300" r:id="rId1"/>
  <headerFooter>
    <oddFooter>&amp;C&amp;P/&amp;N&amp;RCopyright © 2022 NeTS Co. Ltd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47E8-B31D-40CF-B98E-581878DB3599}">
  <sheetPr codeName="Sheet9">
    <tabColor rgb="FFFF0000"/>
  </sheetPr>
  <dimension ref="A1:AMK63"/>
  <sheetViews>
    <sheetView view="pageBreakPreview" topLeftCell="A40" zoomScaleNormal="100" zoomScaleSheetLayoutView="100" workbookViewId="0">
      <selection activeCell="L59" sqref="L59"/>
    </sheetView>
  </sheetViews>
  <sheetFormatPr defaultRowHeight="18.75" x14ac:dyDescent="0.4"/>
  <cols>
    <col min="1" max="1025" width="3.75" style="1" customWidth="1"/>
  </cols>
  <sheetData>
    <row r="1" spans="1:1025" x14ac:dyDescent="0.4">
      <c r="A1" s="107" t="s">
        <v>7</v>
      </c>
      <c r="B1" s="107"/>
      <c r="C1" s="107"/>
      <c r="D1" s="107"/>
      <c r="E1" s="107"/>
      <c r="F1" s="107"/>
      <c r="G1" s="107"/>
      <c r="H1" s="107"/>
      <c r="I1" s="5" t="s">
        <v>8</v>
      </c>
      <c r="J1" s="6"/>
      <c r="K1" s="6"/>
      <c r="L1" s="7"/>
      <c r="M1" s="13" t="s">
        <v>41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125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108">
        <v>46149</v>
      </c>
      <c r="AL1" s="109"/>
      <c r="AM1" s="109"/>
      <c r="AN1" s="110"/>
    </row>
    <row r="2" spans="1:1025" x14ac:dyDescent="0.4">
      <c r="A2" s="107"/>
      <c r="B2" s="107"/>
      <c r="C2" s="107"/>
      <c r="D2" s="107"/>
      <c r="E2" s="107"/>
      <c r="F2" s="107"/>
      <c r="G2" s="107"/>
      <c r="H2" s="107"/>
      <c r="I2" s="5" t="s">
        <v>10</v>
      </c>
      <c r="J2" s="6"/>
      <c r="K2" s="6"/>
      <c r="L2" s="7"/>
      <c r="M2" s="13" t="s">
        <v>43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96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42</v>
      </c>
      <c r="AL2" s="28"/>
      <c r="AM2" s="28"/>
      <c r="AN2" s="29"/>
    </row>
    <row r="3" spans="1:1025" ht="3" customHeight="1" x14ac:dyDescent="0.4"/>
    <row r="4" spans="1:1025" x14ac:dyDescent="0.4">
      <c r="A4" s="14" t="s">
        <v>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1025" x14ac:dyDescent="0.4">
      <c r="A5" s="38" t="s">
        <v>39</v>
      </c>
      <c r="B5" s="35" t="s">
        <v>245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1025" s="53" customFormat="1" x14ac:dyDescent="0.4">
      <c r="A6" s="163" t="s">
        <v>33</v>
      </c>
      <c r="B6" s="96" t="s">
        <v>212</v>
      </c>
      <c r="C6" s="96"/>
      <c r="D6" s="96"/>
      <c r="E6" s="96" t="s">
        <v>256</v>
      </c>
      <c r="F6" s="96"/>
      <c r="G6" s="96"/>
      <c r="H6" s="96"/>
      <c r="I6" s="176"/>
      <c r="J6" s="96"/>
      <c r="K6" s="96"/>
      <c r="L6" s="96"/>
      <c r="M6" s="96"/>
      <c r="N6" s="96"/>
      <c r="O6" s="96"/>
      <c r="P6" s="96"/>
      <c r="Q6" s="83"/>
      <c r="R6" s="83"/>
      <c r="S6" s="83"/>
      <c r="T6" s="83"/>
      <c r="U6" s="83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51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spans="1:1025" s="53" customFormat="1" x14ac:dyDescent="0.4">
      <c r="A7" s="83"/>
      <c r="B7" s="83"/>
      <c r="C7" s="83"/>
      <c r="D7" s="83"/>
      <c r="E7" s="83"/>
      <c r="F7" s="83"/>
      <c r="G7" s="83"/>
      <c r="H7" s="83"/>
      <c r="I7" s="9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51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spans="1:1025" s="53" customFormat="1" x14ac:dyDescent="0.4">
      <c r="A8" s="96" t="s">
        <v>35</v>
      </c>
      <c r="B8" s="96" t="s">
        <v>221</v>
      </c>
      <c r="C8" s="96"/>
      <c r="D8" s="96"/>
      <c r="E8" s="96"/>
      <c r="F8" s="96"/>
      <c r="G8" s="96"/>
      <c r="H8" s="177"/>
      <c r="I8" s="96"/>
      <c r="J8" s="96"/>
      <c r="K8" s="96"/>
      <c r="L8" s="96"/>
      <c r="M8" s="96"/>
      <c r="N8" s="96"/>
      <c r="O8" s="96"/>
      <c r="P8" s="96"/>
      <c r="Q8" s="83"/>
      <c r="R8" s="83"/>
      <c r="S8" s="83"/>
      <c r="T8" s="83"/>
      <c r="U8" s="83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51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spans="1:1025" x14ac:dyDescent="0.4">
      <c r="A9" s="72"/>
      <c r="B9" s="72" t="s">
        <v>222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68"/>
      <c r="R9" s="68"/>
      <c r="S9" s="68"/>
      <c r="T9" s="68"/>
      <c r="U9" s="68"/>
    </row>
    <row r="10" spans="1:1025" s="53" customFormat="1" x14ac:dyDescent="0.4">
      <c r="A10" s="45"/>
      <c r="B10" s="45"/>
      <c r="C10" s="45"/>
      <c r="D10" s="45"/>
      <c r="E10" s="45"/>
      <c r="F10" s="45"/>
      <c r="G10" s="45"/>
      <c r="H10" s="57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51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spans="1:1025" s="53" customFormat="1" x14ac:dyDescent="0.4">
      <c r="A11" s="45" t="s">
        <v>36</v>
      </c>
      <c r="B11" s="45" t="s">
        <v>223</v>
      </c>
      <c r="C11" s="45"/>
      <c r="D11" s="45"/>
      <c r="E11" s="45"/>
      <c r="F11" s="45"/>
      <c r="G11" s="45"/>
      <c r="H11" s="57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51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</row>
    <row r="12" spans="1:1025" s="53" customFormat="1" x14ac:dyDescent="0.4">
      <c r="B12" s="45"/>
      <c r="C12" s="45"/>
      <c r="D12" s="45"/>
      <c r="E12" s="45"/>
      <c r="F12" s="45"/>
      <c r="G12" s="45"/>
      <c r="H12" s="57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51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</row>
    <row r="13" spans="1:1025" s="53" customFormat="1" x14ac:dyDescent="0.4">
      <c r="A13" s="45" t="s">
        <v>76</v>
      </c>
      <c r="B13" s="45" t="s">
        <v>77</v>
      </c>
      <c r="C13" s="45"/>
      <c r="D13" s="45"/>
      <c r="E13" s="45"/>
      <c r="F13" s="45"/>
      <c r="G13" s="45"/>
      <c r="H13" s="57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51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</row>
    <row r="14" spans="1:1025" s="53" customFormat="1" x14ac:dyDescent="0.4">
      <c r="A14" s="45"/>
      <c r="B14" s="45"/>
      <c r="C14" s="45"/>
      <c r="D14" s="45"/>
      <c r="E14" s="45"/>
      <c r="F14" s="45"/>
      <c r="G14" s="45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51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</row>
    <row r="15" spans="1:1025" s="53" customFormat="1" x14ac:dyDescent="0.4">
      <c r="A15" s="38" t="s">
        <v>34</v>
      </c>
      <c r="B15" s="35" t="s">
        <v>246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6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</row>
    <row r="16" spans="1:1025" s="53" customFormat="1" x14ac:dyDescent="0.4">
      <c r="A16" s="163" t="s">
        <v>33</v>
      </c>
      <c r="B16" s="96" t="s">
        <v>212</v>
      </c>
      <c r="C16" s="96"/>
      <c r="D16" s="96"/>
      <c r="E16" s="96" t="s">
        <v>224</v>
      </c>
      <c r="F16" s="96"/>
      <c r="G16" s="96"/>
      <c r="H16" s="96"/>
      <c r="I16" s="176"/>
      <c r="J16" s="96"/>
      <c r="K16" s="96"/>
      <c r="L16" s="96"/>
      <c r="M16" s="96"/>
      <c r="N16" s="83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51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</row>
    <row r="17" spans="1:1025" s="53" customFormat="1" x14ac:dyDescent="0.4"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51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</row>
    <row r="18" spans="1:1025" s="53" customFormat="1" x14ac:dyDescent="0.4">
      <c r="A18" s="45" t="s">
        <v>35</v>
      </c>
      <c r="B18" s="45" t="s">
        <v>170</v>
      </c>
      <c r="C18" s="45"/>
      <c r="D18" s="45"/>
      <c r="E18" s="45"/>
      <c r="F18" s="45"/>
      <c r="G18" s="45"/>
      <c r="H18" s="57"/>
      <c r="I18" s="45"/>
      <c r="J18" s="45"/>
      <c r="K18" s="45"/>
      <c r="L18" s="45"/>
      <c r="M18" s="45"/>
      <c r="N18" s="45"/>
      <c r="O18" s="45"/>
      <c r="P18" s="45"/>
      <c r="Q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51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</row>
    <row r="19" spans="1:1025" s="53" customFormat="1" x14ac:dyDescent="0.4">
      <c r="B19" s="66" t="s">
        <v>226</v>
      </c>
      <c r="C19" s="45"/>
      <c r="D19" s="45"/>
      <c r="E19" s="45"/>
      <c r="F19" s="45"/>
      <c r="G19" s="45"/>
      <c r="H19" s="57"/>
      <c r="I19" s="45"/>
      <c r="J19" s="45"/>
      <c r="K19" s="45"/>
      <c r="L19" s="45"/>
      <c r="M19" s="45"/>
      <c r="N19" s="45"/>
      <c r="O19" s="45"/>
      <c r="P19" s="45"/>
      <c r="Q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51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</row>
    <row r="20" spans="1:1025" s="53" customFormat="1" x14ac:dyDescent="0.4">
      <c r="B20" s="45" t="s">
        <v>222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51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</row>
    <row r="21" spans="1:1025" s="53" customFormat="1" x14ac:dyDescent="0.4"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51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</row>
    <row r="22" spans="1:1025" s="53" customFormat="1" x14ac:dyDescent="0.4">
      <c r="A22" s="45" t="s">
        <v>36</v>
      </c>
      <c r="B22" s="45" t="s">
        <v>223</v>
      </c>
      <c r="C22" s="45"/>
      <c r="D22" s="45"/>
      <c r="E22" s="45"/>
      <c r="F22" s="45"/>
      <c r="G22" s="45"/>
      <c r="H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51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5"/>
      <c r="HV22" s="45"/>
      <c r="HW22" s="45"/>
      <c r="HX22" s="45"/>
      <c r="HY22" s="45"/>
      <c r="HZ22" s="45"/>
      <c r="IA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  <c r="IV22" s="45"/>
      <c r="IW22" s="45"/>
      <c r="IX22" s="45"/>
      <c r="IY22" s="45"/>
      <c r="IZ22" s="45"/>
      <c r="JA22" s="45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5"/>
      <c r="JQ22" s="45"/>
      <c r="JR22" s="45"/>
      <c r="JS22" s="45"/>
      <c r="JT22" s="45"/>
      <c r="JU22" s="45"/>
      <c r="JV22" s="45"/>
      <c r="JW22" s="45"/>
      <c r="JX22" s="45"/>
      <c r="JY22" s="45"/>
      <c r="JZ22" s="45"/>
      <c r="KA22" s="45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45"/>
      <c r="KS22" s="45"/>
      <c r="KT22" s="45"/>
      <c r="KU22" s="45"/>
      <c r="KV22" s="45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5"/>
      <c r="LL22" s="45"/>
      <c r="LM22" s="45"/>
      <c r="LN22" s="45"/>
      <c r="LO22" s="45"/>
      <c r="LP22" s="45"/>
      <c r="LQ22" s="45"/>
      <c r="LR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  <c r="MM22" s="45"/>
      <c r="MN22" s="45"/>
      <c r="MO22" s="45"/>
      <c r="MP22" s="45"/>
      <c r="MQ22" s="45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5"/>
      <c r="NG22" s="45"/>
      <c r="NH22" s="45"/>
      <c r="NI22" s="45"/>
      <c r="NJ22" s="45"/>
      <c r="NK22" s="45"/>
      <c r="NL22" s="45"/>
      <c r="NM22" s="45"/>
      <c r="NN22" s="45"/>
      <c r="NO22" s="45"/>
      <c r="NP22" s="45"/>
      <c r="NQ22" s="45"/>
      <c r="NR22" s="45"/>
      <c r="NS22" s="45"/>
      <c r="NT22" s="45"/>
      <c r="NU22" s="45"/>
      <c r="NV22" s="45"/>
      <c r="NW22" s="45"/>
      <c r="NX22" s="45"/>
      <c r="NY22" s="45"/>
      <c r="NZ22" s="45"/>
      <c r="OA22" s="45"/>
      <c r="OB22" s="45"/>
      <c r="OC22" s="45"/>
      <c r="OD22" s="45"/>
      <c r="OE22" s="45"/>
      <c r="OF22" s="45"/>
      <c r="OG22" s="45"/>
      <c r="OH22" s="45"/>
      <c r="OI22" s="45"/>
      <c r="OJ22" s="45"/>
      <c r="OK22" s="45"/>
      <c r="OL22" s="45"/>
      <c r="OM22" s="45"/>
      <c r="ON22" s="45"/>
      <c r="OO22" s="45"/>
      <c r="OP22" s="45"/>
      <c r="OQ22" s="45"/>
      <c r="OR22" s="45"/>
      <c r="OS22" s="45"/>
      <c r="OT22" s="45"/>
      <c r="OU22" s="45"/>
      <c r="OV22" s="45"/>
      <c r="OW22" s="45"/>
      <c r="OX22" s="45"/>
      <c r="OY22" s="45"/>
      <c r="OZ22" s="45"/>
      <c r="PA22" s="45"/>
      <c r="PB22" s="45"/>
      <c r="PC22" s="45"/>
      <c r="PD22" s="45"/>
      <c r="PE22" s="45"/>
      <c r="PF22" s="45"/>
      <c r="PG22" s="45"/>
      <c r="PH22" s="45"/>
      <c r="PI22" s="45"/>
      <c r="PJ22" s="45"/>
      <c r="PK22" s="45"/>
      <c r="PL22" s="45"/>
      <c r="PM22" s="45"/>
      <c r="PN22" s="45"/>
      <c r="PO22" s="45"/>
      <c r="PP22" s="45"/>
      <c r="PQ22" s="45"/>
      <c r="PR22" s="45"/>
      <c r="PS22" s="45"/>
      <c r="PT22" s="45"/>
      <c r="PU22" s="45"/>
      <c r="PV22" s="45"/>
      <c r="PW22" s="45"/>
      <c r="PX22" s="45"/>
      <c r="PY22" s="45"/>
      <c r="PZ22" s="45"/>
      <c r="QA22" s="45"/>
      <c r="QB22" s="45"/>
      <c r="QC22" s="45"/>
      <c r="QD22" s="45"/>
      <c r="QE22" s="45"/>
      <c r="QF22" s="45"/>
      <c r="QG22" s="45"/>
      <c r="QH22" s="45"/>
      <c r="QI22" s="45"/>
      <c r="QJ22" s="45"/>
      <c r="QK22" s="45"/>
      <c r="QL22" s="45"/>
      <c r="QM22" s="45"/>
      <c r="QN22" s="45"/>
      <c r="QO22" s="45"/>
      <c r="QP22" s="45"/>
      <c r="QQ22" s="45"/>
      <c r="QR22" s="45"/>
      <c r="QS22" s="45"/>
      <c r="QT22" s="45"/>
      <c r="QU22" s="45"/>
      <c r="QV22" s="45"/>
      <c r="QW22" s="45"/>
      <c r="QX22" s="45"/>
      <c r="QY22" s="45"/>
      <c r="QZ22" s="45"/>
      <c r="RA22" s="45"/>
      <c r="RB22" s="45"/>
      <c r="RC22" s="45"/>
      <c r="RD22" s="45"/>
      <c r="RE22" s="45"/>
      <c r="RF22" s="45"/>
      <c r="RG22" s="45"/>
      <c r="RH22" s="45"/>
      <c r="RI22" s="45"/>
      <c r="RJ22" s="45"/>
      <c r="RK22" s="45"/>
      <c r="RL22" s="45"/>
      <c r="RM22" s="45"/>
      <c r="RN22" s="45"/>
      <c r="RO22" s="45"/>
      <c r="RP22" s="45"/>
      <c r="RQ22" s="45"/>
      <c r="RR22" s="45"/>
      <c r="RS22" s="45"/>
      <c r="RT22" s="45"/>
      <c r="RU22" s="45"/>
      <c r="RV22" s="45"/>
      <c r="RW22" s="45"/>
      <c r="RX22" s="45"/>
      <c r="RY22" s="45"/>
      <c r="RZ22" s="45"/>
      <c r="SA22" s="45"/>
      <c r="SB22" s="45"/>
      <c r="SC22" s="45"/>
      <c r="SD22" s="45"/>
      <c r="SE22" s="45"/>
      <c r="SF22" s="45"/>
      <c r="SG22" s="45"/>
      <c r="SH22" s="45"/>
      <c r="SI22" s="45"/>
      <c r="SJ22" s="45"/>
      <c r="SK22" s="45"/>
      <c r="SL22" s="45"/>
      <c r="SM22" s="45"/>
      <c r="SN22" s="45"/>
      <c r="SO22" s="45"/>
      <c r="SP22" s="45"/>
      <c r="SQ22" s="45"/>
      <c r="SR22" s="45"/>
      <c r="SS22" s="45"/>
      <c r="ST22" s="45"/>
      <c r="SU22" s="45"/>
      <c r="SV22" s="45"/>
      <c r="SW22" s="45"/>
      <c r="SX22" s="45"/>
      <c r="SY22" s="45"/>
      <c r="SZ22" s="45"/>
      <c r="TA22" s="45"/>
      <c r="TB22" s="45"/>
      <c r="TC22" s="45"/>
      <c r="TD22" s="45"/>
      <c r="TE22" s="45"/>
      <c r="TF22" s="45"/>
      <c r="TG22" s="45"/>
      <c r="TH22" s="45"/>
      <c r="TI22" s="45"/>
      <c r="TJ22" s="45"/>
      <c r="TK22" s="45"/>
      <c r="TL22" s="45"/>
      <c r="TM22" s="45"/>
      <c r="TN22" s="45"/>
      <c r="TO22" s="45"/>
      <c r="TP22" s="45"/>
      <c r="TQ22" s="45"/>
      <c r="TR22" s="45"/>
      <c r="TS22" s="45"/>
      <c r="TT22" s="45"/>
      <c r="TU22" s="45"/>
      <c r="TV22" s="45"/>
      <c r="TW22" s="45"/>
      <c r="TX22" s="45"/>
      <c r="TY22" s="45"/>
      <c r="TZ22" s="45"/>
      <c r="UA22" s="45"/>
      <c r="UB22" s="45"/>
      <c r="UC22" s="45"/>
      <c r="UD22" s="45"/>
      <c r="UE22" s="45"/>
      <c r="UF22" s="45"/>
      <c r="UG22" s="45"/>
      <c r="UH22" s="45"/>
      <c r="UI22" s="45"/>
      <c r="UJ22" s="45"/>
      <c r="UK22" s="45"/>
      <c r="UL22" s="45"/>
      <c r="UM22" s="45"/>
      <c r="UN22" s="45"/>
      <c r="UO22" s="45"/>
      <c r="UP22" s="45"/>
      <c r="UQ22" s="45"/>
      <c r="UR22" s="45"/>
      <c r="US22" s="45"/>
      <c r="UT22" s="45"/>
      <c r="UU22" s="45"/>
      <c r="UV22" s="45"/>
      <c r="UW22" s="45"/>
      <c r="UX22" s="45"/>
      <c r="UY22" s="45"/>
      <c r="UZ22" s="45"/>
      <c r="VA22" s="45"/>
      <c r="VB22" s="45"/>
      <c r="VC22" s="45"/>
      <c r="VD22" s="45"/>
      <c r="VE22" s="45"/>
      <c r="VF22" s="45"/>
      <c r="VG22" s="45"/>
      <c r="VH22" s="45"/>
      <c r="VI22" s="45"/>
      <c r="VJ22" s="45"/>
      <c r="VK22" s="45"/>
      <c r="VL22" s="45"/>
      <c r="VM22" s="45"/>
      <c r="VN22" s="45"/>
      <c r="VO22" s="45"/>
      <c r="VP22" s="45"/>
      <c r="VQ22" s="45"/>
      <c r="VR22" s="45"/>
      <c r="VS22" s="45"/>
      <c r="VT22" s="45"/>
      <c r="VU22" s="45"/>
      <c r="VV22" s="45"/>
      <c r="VW22" s="45"/>
      <c r="VX22" s="45"/>
      <c r="VY22" s="45"/>
      <c r="VZ22" s="45"/>
      <c r="WA22" s="45"/>
      <c r="WB22" s="45"/>
      <c r="WC22" s="45"/>
      <c r="WD22" s="45"/>
      <c r="WE22" s="45"/>
      <c r="WF22" s="45"/>
      <c r="WG22" s="45"/>
      <c r="WH22" s="45"/>
      <c r="WI22" s="45"/>
      <c r="WJ22" s="45"/>
      <c r="WK22" s="45"/>
      <c r="WL22" s="45"/>
      <c r="WM22" s="45"/>
      <c r="WN22" s="45"/>
      <c r="WO22" s="45"/>
      <c r="WP22" s="45"/>
      <c r="WQ22" s="45"/>
      <c r="WR22" s="45"/>
      <c r="WS22" s="45"/>
      <c r="WT22" s="45"/>
      <c r="WU22" s="45"/>
      <c r="WV22" s="45"/>
      <c r="WW22" s="45"/>
      <c r="WX22" s="45"/>
      <c r="WY22" s="45"/>
      <c r="WZ22" s="45"/>
      <c r="XA22" s="45"/>
      <c r="XB22" s="45"/>
      <c r="XC22" s="45"/>
      <c r="XD22" s="45"/>
      <c r="XE22" s="45"/>
      <c r="XF22" s="45"/>
      <c r="XG22" s="45"/>
      <c r="XH22" s="45"/>
      <c r="XI22" s="45"/>
      <c r="XJ22" s="45"/>
      <c r="XK22" s="45"/>
      <c r="XL22" s="45"/>
      <c r="XM22" s="45"/>
      <c r="XN22" s="45"/>
      <c r="XO22" s="45"/>
      <c r="XP22" s="45"/>
      <c r="XQ22" s="45"/>
      <c r="XR22" s="45"/>
      <c r="XS22" s="45"/>
      <c r="XT22" s="45"/>
      <c r="XU22" s="45"/>
      <c r="XV22" s="45"/>
      <c r="XW22" s="45"/>
      <c r="XX22" s="45"/>
      <c r="XY22" s="45"/>
      <c r="XZ22" s="45"/>
      <c r="YA22" s="45"/>
      <c r="YB22" s="45"/>
      <c r="YC22" s="45"/>
      <c r="YD22" s="45"/>
      <c r="YE22" s="45"/>
      <c r="YF22" s="45"/>
      <c r="YG22" s="45"/>
      <c r="YH22" s="45"/>
      <c r="YI22" s="45"/>
      <c r="YJ22" s="45"/>
      <c r="YK22" s="45"/>
      <c r="YL22" s="45"/>
      <c r="YM22" s="45"/>
      <c r="YN22" s="45"/>
      <c r="YO22" s="45"/>
      <c r="YP22" s="45"/>
      <c r="YQ22" s="45"/>
      <c r="YR22" s="45"/>
      <c r="YS22" s="45"/>
      <c r="YT22" s="45"/>
      <c r="YU22" s="45"/>
      <c r="YV22" s="45"/>
      <c r="YW22" s="45"/>
      <c r="YX22" s="45"/>
      <c r="YY22" s="45"/>
      <c r="YZ22" s="45"/>
      <c r="ZA22" s="45"/>
      <c r="ZB22" s="45"/>
      <c r="ZC22" s="45"/>
      <c r="ZD22" s="45"/>
      <c r="ZE22" s="45"/>
      <c r="ZF22" s="45"/>
      <c r="ZG22" s="45"/>
      <c r="ZH22" s="45"/>
      <c r="ZI22" s="45"/>
      <c r="ZJ22" s="45"/>
      <c r="ZK22" s="45"/>
      <c r="ZL22" s="45"/>
      <c r="ZM22" s="45"/>
      <c r="ZN22" s="45"/>
      <c r="ZO22" s="45"/>
      <c r="ZP22" s="45"/>
      <c r="ZQ22" s="45"/>
      <c r="ZR22" s="45"/>
      <c r="ZS22" s="45"/>
      <c r="ZT22" s="45"/>
      <c r="ZU22" s="45"/>
      <c r="ZV22" s="45"/>
      <c r="ZW22" s="45"/>
      <c r="ZX22" s="45"/>
      <c r="ZY22" s="45"/>
      <c r="ZZ22" s="45"/>
      <c r="AAA22" s="45"/>
      <c r="AAB22" s="45"/>
      <c r="AAC22" s="45"/>
      <c r="AAD22" s="45"/>
      <c r="AAE22" s="45"/>
      <c r="AAF22" s="45"/>
      <c r="AAG22" s="45"/>
      <c r="AAH22" s="45"/>
      <c r="AAI22" s="45"/>
      <c r="AAJ22" s="45"/>
      <c r="AAK22" s="45"/>
      <c r="AAL22" s="45"/>
      <c r="AAM22" s="45"/>
      <c r="AAN22" s="45"/>
      <c r="AAO22" s="45"/>
      <c r="AAP22" s="45"/>
      <c r="AAQ22" s="45"/>
      <c r="AAR22" s="45"/>
      <c r="AAS22" s="45"/>
      <c r="AAT22" s="45"/>
      <c r="AAU22" s="45"/>
      <c r="AAV22" s="45"/>
      <c r="AAW22" s="45"/>
      <c r="AAX22" s="45"/>
      <c r="AAY22" s="45"/>
      <c r="AAZ22" s="45"/>
      <c r="ABA22" s="45"/>
      <c r="ABB22" s="45"/>
      <c r="ABC22" s="45"/>
      <c r="ABD22" s="45"/>
      <c r="ABE22" s="45"/>
      <c r="ABF22" s="45"/>
      <c r="ABG22" s="45"/>
      <c r="ABH22" s="45"/>
      <c r="ABI22" s="45"/>
      <c r="ABJ22" s="45"/>
      <c r="ABK22" s="45"/>
      <c r="ABL22" s="45"/>
      <c r="ABM22" s="45"/>
      <c r="ABN22" s="45"/>
      <c r="ABO22" s="45"/>
      <c r="ABP22" s="45"/>
      <c r="ABQ22" s="45"/>
      <c r="ABR22" s="45"/>
      <c r="ABS22" s="45"/>
      <c r="ABT22" s="45"/>
      <c r="ABU22" s="45"/>
      <c r="ABV22" s="45"/>
      <c r="ABW22" s="45"/>
      <c r="ABX22" s="45"/>
      <c r="ABY22" s="45"/>
      <c r="ABZ22" s="45"/>
      <c r="ACA22" s="45"/>
      <c r="ACB22" s="45"/>
      <c r="ACC22" s="45"/>
      <c r="ACD22" s="45"/>
      <c r="ACE22" s="45"/>
      <c r="ACF22" s="45"/>
      <c r="ACG22" s="45"/>
      <c r="ACH22" s="45"/>
      <c r="ACI22" s="45"/>
      <c r="ACJ22" s="45"/>
      <c r="ACK22" s="45"/>
      <c r="ACL22" s="45"/>
      <c r="ACM22" s="45"/>
      <c r="ACN22" s="45"/>
      <c r="ACO22" s="45"/>
      <c r="ACP22" s="45"/>
      <c r="ACQ22" s="45"/>
      <c r="ACR22" s="45"/>
      <c r="ACS22" s="45"/>
      <c r="ACT22" s="45"/>
      <c r="ACU22" s="45"/>
      <c r="ACV22" s="45"/>
      <c r="ACW22" s="45"/>
      <c r="ACX22" s="45"/>
      <c r="ACY22" s="45"/>
      <c r="ACZ22" s="45"/>
      <c r="ADA22" s="45"/>
      <c r="ADB22" s="45"/>
      <c r="ADC22" s="45"/>
      <c r="ADD22" s="45"/>
      <c r="ADE22" s="45"/>
      <c r="ADF22" s="45"/>
      <c r="ADG22" s="45"/>
      <c r="ADH22" s="45"/>
      <c r="ADI22" s="45"/>
      <c r="ADJ22" s="45"/>
      <c r="ADK22" s="45"/>
      <c r="ADL22" s="45"/>
      <c r="ADM22" s="45"/>
      <c r="ADN22" s="45"/>
      <c r="ADO22" s="45"/>
      <c r="ADP22" s="45"/>
      <c r="ADQ22" s="45"/>
      <c r="ADR22" s="45"/>
      <c r="ADS22" s="45"/>
      <c r="ADT22" s="45"/>
      <c r="ADU22" s="45"/>
      <c r="ADV22" s="45"/>
      <c r="ADW22" s="45"/>
      <c r="ADX22" s="45"/>
      <c r="ADY22" s="45"/>
      <c r="ADZ22" s="45"/>
      <c r="AEA22" s="45"/>
      <c r="AEB22" s="45"/>
      <c r="AEC22" s="45"/>
      <c r="AED22" s="45"/>
      <c r="AEE22" s="45"/>
      <c r="AEF22" s="45"/>
      <c r="AEG22" s="45"/>
      <c r="AEH22" s="45"/>
      <c r="AEI22" s="45"/>
      <c r="AEJ22" s="45"/>
      <c r="AEK22" s="45"/>
      <c r="AEL22" s="45"/>
      <c r="AEM22" s="45"/>
      <c r="AEN22" s="45"/>
      <c r="AEO22" s="45"/>
      <c r="AEP22" s="45"/>
      <c r="AEQ22" s="45"/>
      <c r="AER22" s="45"/>
      <c r="AES22" s="45"/>
      <c r="AET22" s="45"/>
      <c r="AEU22" s="45"/>
      <c r="AEV22" s="45"/>
      <c r="AEW22" s="45"/>
      <c r="AEX22" s="45"/>
      <c r="AEY22" s="45"/>
      <c r="AEZ22" s="45"/>
      <c r="AFA22" s="45"/>
      <c r="AFB22" s="45"/>
      <c r="AFC22" s="45"/>
      <c r="AFD22" s="45"/>
      <c r="AFE22" s="45"/>
      <c r="AFF22" s="45"/>
      <c r="AFG22" s="45"/>
      <c r="AFH22" s="45"/>
      <c r="AFI22" s="45"/>
      <c r="AFJ22" s="45"/>
      <c r="AFK22" s="45"/>
      <c r="AFL22" s="45"/>
      <c r="AFM22" s="45"/>
      <c r="AFN22" s="45"/>
      <c r="AFO22" s="45"/>
      <c r="AFP22" s="45"/>
      <c r="AFQ22" s="45"/>
      <c r="AFR22" s="45"/>
      <c r="AFS22" s="45"/>
      <c r="AFT22" s="45"/>
      <c r="AFU22" s="45"/>
      <c r="AFV22" s="45"/>
      <c r="AFW22" s="45"/>
      <c r="AFX22" s="45"/>
      <c r="AFY22" s="45"/>
      <c r="AFZ22" s="45"/>
      <c r="AGA22" s="45"/>
      <c r="AGB22" s="45"/>
      <c r="AGC22" s="45"/>
      <c r="AGD22" s="45"/>
      <c r="AGE22" s="45"/>
      <c r="AGF22" s="45"/>
      <c r="AGG22" s="45"/>
      <c r="AGH22" s="45"/>
      <c r="AGI22" s="45"/>
      <c r="AGJ22" s="45"/>
      <c r="AGK22" s="45"/>
      <c r="AGL22" s="45"/>
      <c r="AGM22" s="45"/>
      <c r="AGN22" s="45"/>
      <c r="AGO22" s="45"/>
      <c r="AGP22" s="45"/>
      <c r="AGQ22" s="45"/>
      <c r="AGR22" s="45"/>
      <c r="AGS22" s="45"/>
      <c r="AGT22" s="45"/>
      <c r="AGU22" s="45"/>
      <c r="AGV22" s="45"/>
      <c r="AGW22" s="45"/>
      <c r="AGX22" s="45"/>
      <c r="AGY22" s="45"/>
      <c r="AGZ22" s="45"/>
      <c r="AHA22" s="45"/>
      <c r="AHB22" s="45"/>
      <c r="AHC22" s="45"/>
      <c r="AHD22" s="45"/>
      <c r="AHE22" s="45"/>
      <c r="AHF22" s="45"/>
      <c r="AHG22" s="45"/>
      <c r="AHH22" s="45"/>
      <c r="AHI22" s="45"/>
      <c r="AHJ22" s="45"/>
      <c r="AHK22" s="45"/>
      <c r="AHL22" s="45"/>
      <c r="AHM22" s="45"/>
      <c r="AHN22" s="45"/>
      <c r="AHO22" s="45"/>
      <c r="AHP22" s="45"/>
      <c r="AHQ22" s="45"/>
      <c r="AHR22" s="45"/>
      <c r="AHS22" s="45"/>
      <c r="AHT22" s="45"/>
      <c r="AHU22" s="45"/>
      <c r="AHV22" s="45"/>
      <c r="AHW22" s="45"/>
      <c r="AHX22" s="45"/>
      <c r="AHY22" s="45"/>
      <c r="AHZ22" s="45"/>
      <c r="AIA22" s="45"/>
      <c r="AIB22" s="45"/>
      <c r="AIC22" s="45"/>
      <c r="AID22" s="45"/>
      <c r="AIE22" s="45"/>
      <c r="AIF22" s="45"/>
      <c r="AIG22" s="45"/>
      <c r="AIH22" s="45"/>
      <c r="AII22" s="45"/>
      <c r="AIJ22" s="45"/>
      <c r="AIK22" s="45"/>
      <c r="AIL22" s="45"/>
      <c r="AIM22" s="45"/>
      <c r="AIN22" s="45"/>
      <c r="AIO22" s="45"/>
      <c r="AIP22" s="45"/>
      <c r="AIQ22" s="45"/>
      <c r="AIR22" s="45"/>
      <c r="AIS22" s="45"/>
      <c r="AIT22" s="45"/>
      <c r="AIU22" s="45"/>
      <c r="AIV22" s="45"/>
      <c r="AIW22" s="45"/>
      <c r="AIX22" s="45"/>
      <c r="AIY22" s="45"/>
      <c r="AIZ22" s="45"/>
      <c r="AJA22" s="45"/>
      <c r="AJB22" s="45"/>
      <c r="AJC22" s="45"/>
      <c r="AJD22" s="45"/>
      <c r="AJE22" s="45"/>
      <c r="AJF22" s="45"/>
      <c r="AJG22" s="45"/>
      <c r="AJH22" s="45"/>
      <c r="AJI22" s="45"/>
      <c r="AJJ22" s="45"/>
      <c r="AJK22" s="45"/>
      <c r="AJL22" s="45"/>
      <c r="AJM22" s="45"/>
      <c r="AJN22" s="45"/>
      <c r="AJO22" s="45"/>
      <c r="AJP22" s="45"/>
      <c r="AJQ22" s="45"/>
      <c r="AJR22" s="45"/>
      <c r="AJS22" s="45"/>
      <c r="AJT22" s="45"/>
      <c r="AJU22" s="45"/>
      <c r="AJV22" s="45"/>
      <c r="AJW22" s="45"/>
      <c r="AJX22" s="45"/>
      <c r="AJY22" s="45"/>
      <c r="AJZ22" s="45"/>
      <c r="AKA22" s="45"/>
      <c r="AKB22" s="45"/>
      <c r="AKC22" s="45"/>
      <c r="AKD22" s="45"/>
      <c r="AKE22" s="45"/>
      <c r="AKF22" s="45"/>
      <c r="AKG22" s="45"/>
      <c r="AKH22" s="45"/>
      <c r="AKI22" s="45"/>
      <c r="AKJ22" s="45"/>
      <c r="AKK22" s="45"/>
      <c r="AKL22" s="45"/>
      <c r="AKM22" s="45"/>
      <c r="AKN22" s="45"/>
      <c r="AKO22" s="45"/>
      <c r="AKP22" s="45"/>
      <c r="AKQ22" s="45"/>
      <c r="AKR22" s="45"/>
      <c r="AKS22" s="45"/>
      <c r="AKT22" s="45"/>
      <c r="AKU22" s="45"/>
      <c r="AKV22" s="45"/>
      <c r="AKW22" s="45"/>
      <c r="AKX22" s="45"/>
      <c r="AKY22" s="45"/>
      <c r="AKZ22" s="45"/>
      <c r="ALA22" s="45"/>
      <c r="ALB22" s="45"/>
      <c r="ALC22" s="45"/>
      <c r="ALD22" s="45"/>
      <c r="ALE22" s="45"/>
      <c r="ALF22" s="45"/>
      <c r="ALG22" s="45"/>
      <c r="ALH22" s="45"/>
      <c r="ALI22" s="45"/>
      <c r="ALJ22" s="45"/>
      <c r="ALK22" s="45"/>
      <c r="ALL22" s="45"/>
      <c r="ALM22" s="45"/>
      <c r="ALN22" s="45"/>
      <c r="ALO22" s="45"/>
      <c r="ALP22" s="45"/>
      <c r="ALQ22" s="45"/>
      <c r="ALR22" s="45"/>
      <c r="ALS22" s="45"/>
      <c r="ALT22" s="45"/>
      <c r="ALU22" s="45"/>
      <c r="ALV22" s="45"/>
      <c r="ALW22" s="45"/>
      <c r="ALX22" s="45"/>
      <c r="ALY22" s="45"/>
      <c r="ALZ22" s="45"/>
      <c r="AMA22" s="45"/>
      <c r="AMB22" s="45"/>
      <c r="AMC22" s="45"/>
      <c r="AMD22" s="45"/>
      <c r="AME22" s="45"/>
      <c r="AMF22" s="45"/>
      <c r="AMG22" s="45"/>
      <c r="AMH22" s="45"/>
      <c r="AMI22" s="45"/>
      <c r="AMJ22" s="45"/>
      <c r="AMK22" s="45"/>
    </row>
    <row r="24" spans="1:1025" x14ac:dyDescent="0.4">
      <c r="A24" s="45" t="s">
        <v>76</v>
      </c>
      <c r="B24" s="45" t="s">
        <v>77</v>
      </c>
    </row>
    <row r="26" spans="1:1025" x14ac:dyDescent="0.4">
      <c r="A26" s="91" t="s">
        <v>36</v>
      </c>
      <c r="B26" s="92" t="s">
        <v>171</v>
      </c>
      <c r="C26" s="9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6"/>
    </row>
    <row r="27" spans="1:1025" x14ac:dyDescent="0.4">
      <c r="A27" s="163" t="s">
        <v>33</v>
      </c>
      <c r="B27" s="72" t="s">
        <v>212</v>
      </c>
      <c r="C27" s="72"/>
      <c r="D27" s="72"/>
      <c r="E27" s="72" t="s">
        <v>225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68"/>
      <c r="U27" s="68"/>
      <c r="V27" s="68"/>
      <c r="W27" s="68"/>
      <c r="X27" s="68"/>
      <c r="Y27" s="68"/>
      <c r="Z27" s="68"/>
      <c r="AA27" s="68"/>
      <c r="AB27" s="68"/>
    </row>
    <row r="28" spans="1:1025" x14ac:dyDescent="0.4">
      <c r="A28" s="72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72"/>
      <c r="N28" s="72"/>
      <c r="O28" s="72"/>
      <c r="P28" s="72"/>
      <c r="Q28" s="72"/>
      <c r="R28" s="72"/>
      <c r="S28" s="72"/>
      <c r="T28" s="68"/>
      <c r="U28" s="68"/>
      <c r="V28" s="68"/>
      <c r="W28" s="68"/>
      <c r="X28" s="68"/>
      <c r="Y28" s="68"/>
      <c r="Z28" s="68"/>
      <c r="AA28" s="68"/>
      <c r="AB28" s="68"/>
    </row>
    <row r="29" spans="1:1025" x14ac:dyDescent="0.4">
      <c r="A29" s="72"/>
      <c r="B29" s="84" t="s">
        <v>233</v>
      </c>
      <c r="C29" s="84"/>
      <c r="D29" s="85"/>
      <c r="E29" s="86"/>
      <c r="F29" s="87"/>
      <c r="G29" s="85" t="s">
        <v>113</v>
      </c>
      <c r="H29" s="87"/>
      <c r="I29" s="179" t="s">
        <v>231</v>
      </c>
      <c r="J29" s="180"/>
      <c r="K29" s="180"/>
      <c r="L29" s="180"/>
      <c r="M29" s="180"/>
      <c r="N29" s="180"/>
      <c r="O29" s="180"/>
      <c r="P29" s="181"/>
      <c r="Q29" s="72"/>
      <c r="R29" s="72"/>
      <c r="S29" s="72"/>
      <c r="T29" s="68"/>
      <c r="U29" s="68"/>
      <c r="V29" s="68"/>
      <c r="W29" s="68"/>
      <c r="X29" s="68"/>
      <c r="Y29" s="68"/>
      <c r="Z29" s="68"/>
      <c r="AA29" s="68"/>
      <c r="AB29" s="68"/>
    </row>
    <row r="30" spans="1:1025" x14ac:dyDescent="0.4">
      <c r="A30" s="182"/>
      <c r="B30" s="88" t="s">
        <v>210</v>
      </c>
      <c r="C30" s="80"/>
      <c r="D30" s="79"/>
      <c r="E30" s="79"/>
      <c r="F30" s="89"/>
      <c r="G30" s="88" t="s">
        <v>69</v>
      </c>
      <c r="H30" s="88"/>
      <c r="I30" s="80" t="s">
        <v>213</v>
      </c>
      <c r="J30" s="79"/>
      <c r="K30" s="79"/>
      <c r="L30" s="79"/>
      <c r="M30" s="79"/>
      <c r="N30" s="79"/>
      <c r="O30" s="79"/>
      <c r="P30" s="89"/>
      <c r="Q30" s="72"/>
      <c r="R30" s="72"/>
      <c r="S30" s="72"/>
      <c r="T30" s="68"/>
      <c r="U30" s="68"/>
      <c r="V30" s="68"/>
      <c r="W30" s="68"/>
      <c r="X30" s="68"/>
      <c r="Y30" s="68"/>
      <c r="Z30" s="68"/>
      <c r="AA30" s="68"/>
      <c r="AB30" s="68"/>
    </row>
    <row r="31" spans="1:1025" x14ac:dyDescent="0.4">
      <c r="A31" s="72"/>
      <c r="B31" s="88" t="s">
        <v>211</v>
      </c>
      <c r="C31" s="88"/>
      <c r="D31" s="80"/>
      <c r="E31" s="79"/>
      <c r="F31" s="89"/>
      <c r="G31" s="88" t="s">
        <v>69</v>
      </c>
      <c r="H31" s="88"/>
      <c r="I31" s="80" t="s">
        <v>214</v>
      </c>
      <c r="J31" s="79"/>
      <c r="K31" s="79"/>
      <c r="L31" s="79"/>
      <c r="M31" s="79"/>
      <c r="N31" s="79"/>
      <c r="O31" s="79"/>
      <c r="P31" s="89"/>
      <c r="Q31" s="72"/>
      <c r="R31" s="72"/>
      <c r="S31" s="72"/>
      <c r="T31" s="68"/>
      <c r="U31" s="68"/>
      <c r="V31" s="68"/>
      <c r="W31" s="68"/>
      <c r="X31" s="68"/>
      <c r="Y31" s="68"/>
      <c r="Z31" s="68"/>
      <c r="AA31" s="68"/>
      <c r="AB31" s="68"/>
    </row>
    <row r="32" spans="1:1025" x14ac:dyDescent="0.4">
      <c r="A32" s="72"/>
      <c r="B32" s="88" t="s">
        <v>114</v>
      </c>
      <c r="C32" s="88"/>
      <c r="D32" s="88"/>
      <c r="E32" s="80"/>
      <c r="F32" s="89"/>
      <c r="G32" s="88" t="s">
        <v>181</v>
      </c>
      <c r="H32" s="88"/>
      <c r="I32" s="77" t="s">
        <v>229</v>
      </c>
      <c r="J32" s="72"/>
      <c r="K32" s="72"/>
      <c r="L32" s="72"/>
      <c r="M32" s="72"/>
      <c r="N32" s="72"/>
      <c r="O32" s="72"/>
      <c r="P32" s="183"/>
      <c r="Q32" s="72"/>
      <c r="R32" s="72"/>
      <c r="S32" s="72"/>
      <c r="T32" s="68"/>
      <c r="U32" s="68"/>
      <c r="V32" s="68"/>
      <c r="W32" s="68"/>
      <c r="X32" s="68"/>
      <c r="Y32" s="68"/>
      <c r="Z32" s="68"/>
      <c r="AA32" s="68"/>
      <c r="AB32" s="68"/>
    </row>
    <row r="33" spans="1:28" x14ac:dyDescent="0.4">
      <c r="A33" s="72"/>
      <c r="B33" s="88" t="s">
        <v>115</v>
      </c>
      <c r="C33" s="88"/>
      <c r="D33" s="88"/>
      <c r="E33" s="80"/>
      <c r="F33" s="89"/>
      <c r="G33" s="88" t="s">
        <v>181</v>
      </c>
      <c r="H33" s="88"/>
      <c r="I33" s="80" t="s">
        <v>228</v>
      </c>
      <c r="J33" s="79"/>
      <c r="K33" s="79"/>
      <c r="L33" s="79"/>
      <c r="M33" s="79"/>
      <c r="N33" s="79"/>
      <c r="O33" s="79"/>
      <c r="P33" s="89"/>
      <c r="Q33" s="72"/>
      <c r="R33" s="72"/>
      <c r="S33" s="72"/>
      <c r="T33" s="68"/>
      <c r="U33" s="68"/>
      <c r="V33" s="68"/>
      <c r="W33" s="68"/>
      <c r="X33" s="68"/>
      <c r="Y33" s="68"/>
      <c r="Z33" s="68"/>
      <c r="AA33" s="68"/>
      <c r="AB33" s="68"/>
    </row>
    <row r="34" spans="1:28" x14ac:dyDescent="0.4">
      <c r="A34" s="72"/>
      <c r="B34" s="88" t="s">
        <v>116</v>
      </c>
      <c r="C34" s="88"/>
      <c r="D34" s="88"/>
      <c r="E34" s="80"/>
      <c r="F34" s="89"/>
      <c r="G34" s="88" t="s">
        <v>69</v>
      </c>
      <c r="H34" s="88"/>
      <c r="I34" s="80" t="s">
        <v>215</v>
      </c>
      <c r="J34" s="79"/>
      <c r="K34" s="79"/>
      <c r="L34" s="79"/>
      <c r="M34" s="79"/>
      <c r="N34" s="79"/>
      <c r="O34" s="79"/>
      <c r="P34" s="89"/>
      <c r="Q34" s="72"/>
      <c r="R34" s="72"/>
      <c r="S34" s="72"/>
      <c r="T34" s="68"/>
      <c r="U34" s="68"/>
      <c r="V34" s="68"/>
      <c r="W34" s="68"/>
      <c r="X34" s="68"/>
      <c r="Y34" s="68"/>
      <c r="Z34" s="68"/>
      <c r="AA34" s="68"/>
      <c r="AB34" s="68"/>
    </row>
    <row r="35" spans="1:28" x14ac:dyDescent="0.4">
      <c r="A35" s="72"/>
      <c r="B35" s="88" t="s">
        <v>117</v>
      </c>
      <c r="C35" s="88"/>
      <c r="D35" s="88"/>
      <c r="E35" s="80"/>
      <c r="F35" s="89"/>
      <c r="G35" s="88" t="s">
        <v>69</v>
      </c>
      <c r="H35" s="88"/>
      <c r="I35" s="165" t="s">
        <v>230</v>
      </c>
      <c r="J35" s="78"/>
      <c r="K35" s="78"/>
      <c r="L35" s="78"/>
      <c r="M35" s="78"/>
      <c r="N35" s="78"/>
      <c r="O35" s="78"/>
      <c r="P35" s="98"/>
      <c r="Q35" s="72"/>
      <c r="R35" s="72"/>
      <c r="S35" s="72"/>
      <c r="T35" s="68"/>
      <c r="U35" s="68"/>
      <c r="V35" s="68"/>
      <c r="W35" s="68"/>
      <c r="X35" s="68"/>
      <c r="Y35" s="68"/>
      <c r="Z35" s="68"/>
      <c r="AA35" s="68"/>
      <c r="AB35" s="68"/>
    </row>
    <row r="36" spans="1:28" x14ac:dyDescent="0.4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68"/>
      <c r="U36" s="68"/>
      <c r="V36" s="68"/>
      <c r="W36" s="68"/>
      <c r="X36" s="68"/>
      <c r="Y36" s="68"/>
      <c r="Z36" s="68"/>
      <c r="AA36" s="68"/>
      <c r="AB36" s="68"/>
    </row>
    <row r="37" spans="1:28" x14ac:dyDescent="0.4">
      <c r="A37" s="90" t="s">
        <v>35</v>
      </c>
      <c r="B37" s="72" t="s">
        <v>172</v>
      </c>
      <c r="C37" s="72"/>
      <c r="D37" s="72"/>
      <c r="E37" s="72"/>
      <c r="F37" s="72"/>
      <c r="G37" s="72"/>
      <c r="H37" s="72"/>
      <c r="I37" s="72"/>
      <c r="J37" s="72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</row>
    <row r="38" spans="1:28" x14ac:dyDescent="0.4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 spans="1:28" ht="18" customHeight="1" x14ac:dyDescent="0.4">
      <c r="A39" s="90" t="s">
        <v>36</v>
      </c>
      <c r="B39" s="72" t="s">
        <v>232</v>
      </c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82"/>
      <c r="W39" s="82"/>
      <c r="X39" s="82"/>
      <c r="Y39" s="68"/>
      <c r="Z39" s="68"/>
      <c r="AA39" s="68"/>
      <c r="AB39" s="68"/>
    </row>
    <row r="40" spans="1:28" x14ac:dyDescent="0.4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68"/>
      <c r="W40" s="68"/>
      <c r="X40" s="68"/>
      <c r="Y40" s="68"/>
      <c r="Z40" s="68"/>
      <c r="AA40" s="68"/>
      <c r="AB40" s="68"/>
    </row>
    <row r="41" spans="1:28" x14ac:dyDescent="0.4">
      <c r="A41" s="90" t="s">
        <v>37</v>
      </c>
      <c r="B41" s="72" t="s">
        <v>237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68"/>
      <c r="W41" s="68"/>
      <c r="X41" s="68"/>
      <c r="Y41" s="68"/>
      <c r="Z41" s="68"/>
      <c r="AA41" s="68"/>
      <c r="AB41" s="68"/>
    </row>
    <row r="42" spans="1:28" x14ac:dyDescent="0.4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68"/>
      <c r="W42" s="68"/>
      <c r="X42" s="68"/>
      <c r="Y42" s="68"/>
      <c r="Z42" s="68"/>
      <c r="AA42" s="68"/>
      <c r="AB42" s="68"/>
    </row>
    <row r="43" spans="1:28" x14ac:dyDescent="0.4">
      <c r="A43" s="90" t="s">
        <v>169</v>
      </c>
      <c r="B43" s="72" t="s">
        <v>236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68"/>
      <c r="W43" s="68"/>
      <c r="X43" s="68"/>
      <c r="Y43" s="68"/>
      <c r="Z43" s="68"/>
      <c r="AA43" s="68"/>
      <c r="AB43" s="68"/>
    </row>
    <row r="44" spans="1:28" x14ac:dyDescent="0.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68"/>
      <c r="W44" s="68"/>
      <c r="X44" s="68"/>
      <c r="Y44" s="68"/>
      <c r="Z44" s="68"/>
      <c r="AA44" s="68"/>
      <c r="AB44" s="68"/>
    </row>
    <row r="45" spans="1:28" x14ac:dyDescent="0.4">
      <c r="A45" s="90" t="s">
        <v>38</v>
      </c>
      <c r="B45" s="72" t="s">
        <v>250</v>
      </c>
      <c r="C45" s="72" t="s">
        <v>234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68"/>
      <c r="W45" s="68"/>
      <c r="X45" s="68"/>
      <c r="Y45" s="68"/>
      <c r="Z45" s="68"/>
      <c r="AA45" s="68"/>
      <c r="AB45" s="68"/>
    </row>
    <row r="46" spans="1:28" x14ac:dyDescent="0.4">
      <c r="A46" s="72"/>
      <c r="B46" s="72" t="s">
        <v>253</v>
      </c>
      <c r="C46" s="72" t="s">
        <v>235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68"/>
      <c r="W46" s="68"/>
      <c r="X46" s="68"/>
      <c r="Y46" s="68"/>
      <c r="Z46" s="68"/>
      <c r="AA46" s="68"/>
      <c r="AB46" s="68"/>
    </row>
    <row r="47" spans="1:28" x14ac:dyDescent="0.4">
      <c r="A47" s="72"/>
      <c r="B47" s="72" t="s">
        <v>255</v>
      </c>
      <c r="C47" s="72" t="s">
        <v>238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68"/>
      <c r="W47" s="68"/>
      <c r="X47" s="68"/>
      <c r="Y47" s="68"/>
      <c r="Z47" s="68"/>
      <c r="AA47" s="68"/>
      <c r="AB47" s="68"/>
    </row>
    <row r="48" spans="1:28" x14ac:dyDescent="0.4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68"/>
      <c r="W48" s="68"/>
      <c r="X48" s="68"/>
      <c r="Y48" s="68"/>
      <c r="Z48" s="68"/>
      <c r="AA48" s="68"/>
      <c r="AB48" s="68"/>
    </row>
    <row r="49" spans="1:28" x14ac:dyDescent="0.4">
      <c r="A49" s="90" t="s">
        <v>72</v>
      </c>
      <c r="B49" s="72" t="s">
        <v>239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68"/>
      <c r="W49" s="68"/>
      <c r="X49" s="68"/>
      <c r="Y49" s="68"/>
      <c r="Z49" s="68"/>
      <c r="AA49" s="68"/>
      <c r="AB49" s="68"/>
    </row>
    <row r="50" spans="1:28" x14ac:dyDescent="0.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68"/>
      <c r="W50" s="68"/>
      <c r="X50" s="68"/>
      <c r="Y50" s="68"/>
      <c r="Z50" s="68"/>
      <c r="AA50" s="68"/>
      <c r="AB50" s="68"/>
    </row>
    <row r="51" spans="1:28" x14ac:dyDescent="0.4">
      <c r="A51" s="90" t="s">
        <v>73</v>
      </c>
      <c r="B51" s="72" t="s">
        <v>240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68"/>
      <c r="W51" s="68"/>
      <c r="X51" s="68"/>
      <c r="Y51" s="68"/>
      <c r="Z51" s="68"/>
      <c r="AA51" s="68"/>
      <c r="AB51" s="68"/>
    </row>
    <row r="52" spans="1:28" x14ac:dyDescent="0.4">
      <c r="A52" s="96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68"/>
      <c r="W52" s="68"/>
      <c r="X52" s="68"/>
      <c r="Y52" s="68"/>
      <c r="Z52" s="68"/>
      <c r="AA52" s="68"/>
      <c r="AB52" s="68"/>
    </row>
    <row r="53" spans="1:28" x14ac:dyDescent="0.4">
      <c r="A53" s="90" t="s">
        <v>74</v>
      </c>
      <c r="B53" s="72" t="s">
        <v>227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68"/>
      <c r="W53" s="68"/>
      <c r="X53" s="68"/>
      <c r="Y53" s="68"/>
      <c r="Z53" s="68"/>
      <c r="AA53" s="68"/>
      <c r="AB53" s="68"/>
    </row>
    <row r="54" spans="1:28" x14ac:dyDescent="0.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68"/>
      <c r="W54" s="68"/>
      <c r="X54" s="68"/>
      <c r="Y54" s="68"/>
      <c r="Z54" s="68"/>
      <c r="AA54" s="68"/>
      <c r="AB54" s="68"/>
    </row>
    <row r="55" spans="1:28" x14ac:dyDescent="0.4">
      <c r="A55" s="96"/>
      <c r="B55" s="179" t="s">
        <v>242</v>
      </c>
      <c r="C55" s="180"/>
      <c r="D55" s="181"/>
      <c r="E55" s="180" t="s">
        <v>243</v>
      </c>
      <c r="F55" s="180"/>
      <c r="G55" s="180"/>
      <c r="H55" s="181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68"/>
      <c r="W55" s="68"/>
      <c r="X55" s="68"/>
      <c r="Y55" s="68"/>
      <c r="Z55" s="68"/>
      <c r="AA55" s="68"/>
      <c r="AB55" s="68"/>
    </row>
    <row r="56" spans="1:28" x14ac:dyDescent="0.4">
      <c r="A56" s="96"/>
      <c r="B56" s="80" t="s">
        <v>51</v>
      </c>
      <c r="C56" s="79"/>
      <c r="D56" s="89"/>
      <c r="E56" s="79" t="s">
        <v>213</v>
      </c>
      <c r="F56" s="79"/>
      <c r="G56" s="79"/>
      <c r="H56" s="89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68"/>
      <c r="W56" s="68"/>
      <c r="X56" s="68"/>
      <c r="Y56" s="68"/>
      <c r="Z56" s="68"/>
      <c r="AA56" s="68"/>
      <c r="AB56" s="68"/>
    </row>
    <row r="57" spans="1:28" x14ac:dyDescent="0.4">
      <c r="A57" s="96"/>
      <c r="B57" s="80" t="s">
        <v>241</v>
      </c>
      <c r="C57" s="79"/>
      <c r="D57" s="89"/>
      <c r="E57" s="79" t="s">
        <v>214</v>
      </c>
      <c r="F57" s="79"/>
      <c r="G57" s="79"/>
      <c r="H57" s="89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68"/>
      <c r="W57" s="68"/>
      <c r="X57" s="68"/>
      <c r="Y57" s="68"/>
      <c r="Z57" s="68"/>
      <c r="AA57" s="68"/>
      <c r="AB57" s="68"/>
    </row>
    <row r="58" spans="1:28" x14ac:dyDescent="0.4">
      <c r="A58" s="96"/>
      <c r="B58" s="165" t="s">
        <v>71</v>
      </c>
      <c r="C58" s="78"/>
      <c r="D58" s="98"/>
      <c r="E58" s="78" t="s">
        <v>215</v>
      </c>
      <c r="F58" s="78"/>
      <c r="G58" s="78"/>
      <c r="H58" s="98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68"/>
      <c r="W58" s="68"/>
      <c r="X58" s="68"/>
      <c r="Y58" s="68"/>
      <c r="Z58" s="68"/>
      <c r="AA58" s="68"/>
      <c r="AB58" s="68"/>
    </row>
    <row r="59" spans="1:28" x14ac:dyDescent="0.4">
      <c r="A59" s="83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</row>
    <row r="60" spans="1:28" x14ac:dyDescent="0.4">
      <c r="A60" s="90" t="s">
        <v>83</v>
      </c>
      <c r="B60" s="72" t="s">
        <v>244</v>
      </c>
      <c r="C60" s="72"/>
      <c r="D60" s="72"/>
      <c r="E60" s="72"/>
      <c r="F60" s="72"/>
      <c r="G60" s="72"/>
      <c r="H60" s="72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</row>
    <row r="61" spans="1:28" x14ac:dyDescent="0.4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 spans="1:28" x14ac:dyDescent="0.4">
      <c r="A62" s="72" t="s">
        <v>76</v>
      </c>
      <c r="B62" s="72" t="s">
        <v>77</v>
      </c>
      <c r="C62" s="72"/>
      <c r="D62" s="72"/>
      <c r="E62" s="72"/>
      <c r="F62" s="72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 spans="1:28" x14ac:dyDescent="0.4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54" firstPageNumber="0" orientation="landscape" horizontalDpi="300" verticalDpi="300" r:id="rId1"/>
  <headerFooter>
    <oddFooter>&amp;C&amp;P/&amp;N&amp;RCopyright © 2022 NeTS Co. Ltd All rights reserved.</oddFooter>
  </headerFooter>
  <rowBreaks count="3" manualBreakCount="3">
    <brk id="14" max="39" man="1"/>
    <brk id="25" max="39" man="1"/>
    <brk id="63" max="3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7b61e0-3ed5-4e6c-b84b-62be7aa800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07E82A2BC2F694891B01375F75314A7" ma:contentTypeVersion="9" ma:contentTypeDescription="新しいドキュメントを作成します。" ma:contentTypeScope="" ma:versionID="b3cdaa8b46184ceb468943a538542df6">
  <xsd:schema xmlns:xsd="http://www.w3.org/2001/XMLSchema" xmlns:xs="http://www.w3.org/2001/XMLSchema" xmlns:p="http://schemas.microsoft.com/office/2006/metadata/properties" xmlns:ns3="7e7b61e0-3ed5-4e6c-b84b-62be7aa80073" targetNamespace="http://schemas.microsoft.com/office/2006/metadata/properties" ma:root="true" ma:fieldsID="b22aa2cb682278f3967e65ee4583b978" ns3:_="">
    <xsd:import namespace="7e7b61e0-3ed5-4e6c-b84b-62be7aa800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b61e0-3ed5-4e6c-b84b-62be7aa800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A037F7-92E2-4191-8611-939683B190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22769B-A213-4965-A373-49CE4994CBF5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7e7b61e0-3ed5-4e6c-b84b-62be7aa80073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600875-96C7-4D5A-993B-AB964D086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b61e0-3ed5-4e6c-b84b-62be7aa80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18</vt:i4>
      </vt:variant>
    </vt:vector>
  </HeadingPairs>
  <TitlesOfParts>
    <vt:vector size="28" baseType="lpstr">
      <vt:lpstr>改訂履歴</vt:lpstr>
      <vt:lpstr>画面イメージ</vt:lpstr>
      <vt:lpstr>IO関連図</vt:lpstr>
      <vt:lpstr>定数一覧</vt:lpstr>
      <vt:lpstr>定数一覧 (メッセージ)</vt:lpstr>
      <vt:lpstr>項目定義</vt:lpstr>
      <vt:lpstr>イベント定義</vt:lpstr>
      <vt:lpstr>処理詳細(イベント)</vt:lpstr>
      <vt:lpstr>処理詳細(共通処理)</vt:lpstr>
      <vt:lpstr>処理詳細(メソッド)</vt:lpstr>
      <vt:lpstr>IO関連図!Print_Area</vt:lpstr>
      <vt:lpstr>イベント定義!Print_Area</vt:lpstr>
      <vt:lpstr>画面イメージ!Print_Area</vt:lpstr>
      <vt:lpstr>項目定義!Print_Area</vt:lpstr>
      <vt:lpstr>'処理詳細(イベント)'!Print_Area</vt:lpstr>
      <vt:lpstr>'処理詳細(メソッド)'!Print_Area</vt:lpstr>
      <vt:lpstr>'処理詳細(共通処理)'!Print_Area</vt:lpstr>
      <vt:lpstr>定数一覧!Print_Area</vt:lpstr>
      <vt:lpstr>'定数一覧 (メッセージ)'!Print_Area</vt:lpstr>
      <vt:lpstr>画面イメージ!Print_Titles</vt:lpstr>
      <vt:lpstr>改訂履歴!Print_Titles</vt:lpstr>
      <vt:lpstr>'処理詳細(イベント)'!Print_Titles</vt:lpstr>
      <vt:lpstr>'処理詳細(メソッド)'!Print_Titles</vt:lpstr>
      <vt:lpstr>'処理詳細(共通処理)'!Print_Titles</vt:lpstr>
      <vt:lpstr>改訂履歴!Print_Titles_0</vt:lpstr>
      <vt:lpstr>改訂履歴!Print_Titles_0_0</vt:lpstr>
      <vt:lpstr>改訂履歴!Print_Titles_0_0_0</vt:lpstr>
      <vt:lpstr>改訂履歴!Print_Titles_0_0_0_0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添田 智美</dc:creator>
  <cp:keywords/>
  <dc:description/>
  <cp:lastModifiedBy>成瀬 小春</cp:lastModifiedBy>
  <cp:revision>80</cp:revision>
  <dcterms:created xsi:type="dcterms:W3CDTF">2021-06-16T22:55:20Z</dcterms:created>
  <dcterms:modified xsi:type="dcterms:W3CDTF">2026-05-08T04:52:14Z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0x010100107E82A2BC2F694891B01375F75314A7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